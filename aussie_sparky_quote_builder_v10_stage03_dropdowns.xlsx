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ea020b778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 Setup" sheetId="1" r:id="R1db226524f6942a9"/>
    <x:sheet xmlns:r="http://schemas.openxmlformats.org/officeDocument/2006/relationships" name="GPO" sheetId="2" r:id="Rfcb85a82f21b49e3"/>
    <x:sheet xmlns:r="http://schemas.openxmlformats.org/officeDocument/2006/relationships" name="Light Install" sheetId="3" r:id="R8bc64d7e0b2842e3"/>
    <x:sheet xmlns:r="http://schemas.openxmlformats.org/officeDocument/2006/relationships" name="Ceiling Fan" sheetId="4" r:id="R6ac686429e454d0a"/>
    <x:sheet xmlns:r="http://schemas.openxmlformats.org/officeDocument/2006/relationships" name="New Circuit" sheetId="5" r:id="Re8df470e81ac4217"/>
    <x:sheet xmlns:r="http://schemas.openxmlformats.org/officeDocument/2006/relationships" name="Custom Job" sheetId="6" r:id="R45ac94589d684d17"/>
    <x:sheet xmlns:r="http://schemas.openxmlformats.org/officeDocument/2006/relationships" name="Job Summary" sheetId="7" r:id="Rccad07a7f837441d"/>
    <x:sheet xmlns:r="http://schemas.openxmlformats.org/officeDocument/2006/relationships" name="Settings" sheetId="8" r:id="R1c968c8462574b55"/>
    <x:sheet xmlns:r="http://schemas.openxmlformats.org/officeDocument/2006/relationships" name="Assumptions" sheetId="9" r:id="Rda400d6402e54c04"/>
    <x:sheet xmlns:r="http://schemas.openxmlformats.org/officeDocument/2006/relationships" name="Lists" sheetId="10" r:id="R49ee80702ead4aea"/>
  </x:sheets>
</x:workbook>
</file>

<file path=xl/sharedStrings.xml><?xml version="1.0" encoding="utf-8"?>
<x:sst xmlns:x="http://schemas.openxmlformats.org/spreadsheetml/2006/main">
  <x:si>
    <x:t xml:space="preserve">AUSSIE SPARKY QUOTE BUILDER — JOB SETUP</x:t>
  </x:si>
  <x:si>
    <x:t xml:space="preserve">Enter the site once. Every job module inherits these conditions automatically.</x:t>
  </x:si>
  <x:si>
    <x:t xml:space="preserve">BASELINE SITE DETAILS</x:t>
  </x:si>
  <x:si>
    <x:t xml:space="preserve">YOUR INPUT</x:t>
  </x:si>
  <x:si>
    <x:t xml:space="preserve">HOW THE NEW MODEL WORKS</x:t>
  </x:si>
  <x:si>
    <x:t xml:space="preserve">Storeys</x:t>
  </x:si>
  <x:si>
    <x:t xml:space="preserve">Single storey</x:t>
  </x:si>
  <x:si>
    <x:t xml:space="preserve">1. Site details live here once.</x:t>
  </x:si>
  <x:si>
    <x:t xml:space="preserve">House age/type</x:t>
  </x:si>
  <x:si>
    <x:t xml:space="preserve">Newer / roof era</x:t>
  </x:si>
  <x:si>
    <x:t xml:space="preserve">2. Quick-job modules price common work fast.</x:t>
  </x:si>
  <x:si>
    <x:t xml:space="preserve">Floor / subfloor access</x:t>
  </x:si>
  <x:si>
    <x:t xml:space="preserve">No access</x:t>
  </x:si>
  <x:si>
    <x:t xml:space="preserve">3. New Circuit is reusable infrastructure.</x:t>
  </x:si>
  <x:si>
    <x:t xml:space="preserve">Floor construction</x:t>
  </x:si>
  <x:si>
    <x:t xml:space="preserve">Concrete slab</x:t>
  </x:si>
  <x:si>
    <x:t xml:space="preserve">4. Custom Job covers heat units, industrial and oddball work.</x:t>
  </x:si>
  <x:si>
    <x:t xml:space="preserve">Roof type</x:t>
  </x:si>
  <x:si>
    <x:t xml:space="preserve">Pitched metal</x:t>
  </x:si>
  <x:si>
    <x:t xml:space="preserve">5. Job Summary combines everything and applies whole-job costs once.</x:t>
  </x:si>
  <x:si>
    <x:t xml:space="preserve">Open frame?</x:t>
  </x:si>
  <x:si>
    <x:t xml:space="preserve">No</x:t>
  </x:si>
  <x:si>
    <x:t xml:space="preserve">6. Complex jobs can later be saved as app templates.</x:t>
  </x:si>
  <x:si>
    <x:t xml:space="preserve">7. Yellow = editable. Green = calculated.</x:t>
  </x:si>
  <x:si>
    <x:t xml:space="preserve">JOB-WIDE EXTRAS</x:t>
  </x:si>
  <x:si>
    <x:t xml:space="preserve">Extra labour allowance (hrs)</x:t>
  </x:si>
  <x:si>
    <x:t xml:space="preserve">Extra material allowance ($)</x:t>
  </x:si>
  <x:si>
    <x:t xml:space="preserve">Travel / callout override ($)</x:t>
  </x:si>
  <x:si>
    <x:t xml:space="preserve">GPO — QUICK JOB</x:t>
  </x:si>
  <x:si>
    <x:t xml:space="preserve">Fast GPO pricing. Site conditions are inherited from Job Setup.</x:t>
  </x:si>
  <x:si>
    <x:t xml:space="preserve">SITE CONDITION</x:t>
  </x:si>
  <x:si>
    <x:t xml:space="preserve">INHERITED</x:t>
  </x:si>
  <x:si>
    <x:t xml:space="preserve">QUOTE RESULT</x:t>
  </x:si>
  <x:si>
    <x:t xml:space="preserve">CALCULATED</x:t>
  </x:si>
  <x:si>
    <x:t xml:space="preserve">Estimated labour time</x:t>
  </x:si>
  <x:si>
    <x:t xml:space="preserve">Materials ex GST</x:t>
  </x:si>
  <x:si>
    <x:t xml:space="preserve">Module contribution ex GST</x:t>
  </x:si>
  <x:si>
    <x:t xml:space="preserve">CURRENT JOB TOTAL INC GST</x:t>
  </x:si>
  <x:si>
    <x:t xml:space="preserve">Labour sell value</x:t>
  </x:si>
  <x:si>
    <x:t xml:space="preserve">GPO DETAILS</x:t>
  </x:si>
  <x:si>
    <x:t xml:space="preserve">Quantity</x:t>
  </x:si>
  <x:si>
    <x:t xml:space="preserve">Height</x:t>
  </x:si>
  <x:si>
    <x:t xml:space="preserve">Low</x:t>
  </x:si>
  <x:si>
    <x:t xml:space="preserve">Wall type</x:t>
  </x:si>
  <x:si>
    <x:t xml:space="preserve">Interior wall</x:t>
  </x:si>
  <x:si>
    <x:t xml:space="preserve">Near external corner?</x:t>
  </x:si>
  <x:si>
    <x:t xml:space="preserve">Installation layout</x:t>
  </x:si>
  <x:si>
    <x:t xml:space="preserve">Same area / shared run</x:t>
  </x:si>
  <x:si>
    <x:t xml:space="preserve">Approx cable run (m)</x:t>
  </x:si>
  <x:si>
    <x:t xml:space="preserve">New circuit required?</x:t>
  </x:si>
  <x:si>
    <x:t xml:space="preserve">Extra labour (hrs)</x:t>
  </x:si>
  <x:si>
    <x:t xml:space="preserve">Extra material ($)</x:t>
  </x:si>
  <x:si>
    <x:t xml:space="preserve">LIGHT INSTALL — QUICK JOB</x:t>
  </x:si>
  <x:si>
    <x:t xml:space="preserve">Common light installs with site conditions inherited automatically.</x:t>
  </x:si>
  <x:si>
    <x:t xml:space="preserve">LIGHT DETAILS</x:t>
  </x:si>
  <x:si>
    <x:t xml:space="preserve">Light type</x:t>
  </x:si>
  <x:si>
    <x:t xml:space="preserve">Downlight</x:t>
  </x:si>
  <x:si>
    <x:t xml:space="preserve">Position / hole</x:t>
  </x:si>
  <x:si>
    <x:t xml:space="preserve">New hole / position</x:t>
  </x:si>
  <x:si>
    <x:t xml:space="preserve">Supply</x:t>
  </x:si>
  <x:si>
    <x:t xml:space="preserve">Supply &amp; install</x:t>
  </x:si>
  <x:si>
    <x:t xml:space="preserve">CEILING FAN — QUICK JOB</x:t>
  </x:si>
  <x:si>
    <x:t xml:space="preserve">First-fan + additional-fan scaling. Timber support remains genuine repeated work.</x:t>
  </x:si>
  <x:si>
    <x:t xml:space="preserve">FAN DETAILS</x:t>
  </x:si>
  <x:si>
    <x:t xml:space="preserve">Install type</x:t>
  </x:si>
  <x:si>
    <x:t xml:space="preserve">Replacement / existing position</x:t>
  </x:si>
  <x:si>
    <x:t xml:space="preserve">Timber support required?</x:t>
  </x:si>
  <x:si>
    <x:t xml:space="preserve">Fan unit allowance each</x:t>
  </x:si>
  <x:si>
    <x:t xml:space="preserve">Notes</x:t>
  </x:si>
  <x:si>
    <x:t xml:space="preserve">NEW CIRCUIT — REUSABLE COMPONENT</x:t>
  </x:si>
  <x:si>
    <x:t xml:space="preserve">Use on its own or as part of a larger install such as heat units, EV chargers, machinery or sheds.</x:t>
  </x:si>
  <x:si>
    <x:t xml:space="preserve">Suggested route</x:t>
  </x:si>
  <x:si>
    <x:t xml:space="preserve">RCBO suggestion</x:t>
  </x:si>
  <x:si>
    <x:t xml:space="preserve">CIRCUIT DETAILS</x:t>
  </x:si>
  <x:si>
    <x:t xml:space="preserve">Cable size</x:t>
  </x:si>
  <x:si>
    <x:t xml:space="preserve">6 mm²</x:t>
  </x:si>
  <x:si>
    <x:t xml:space="preserve">RCBO override</x:t>
  </x:si>
  <x:si>
    <x:t xml:space="preserve">32 A</x:t>
  </x:si>
  <x:si>
    <x:t xml:space="preserve">Isolator required?</x:t>
  </x:si>
  <x:si>
    <x:t xml:space="preserve">Yes</x:t>
  </x:si>
  <x:si>
    <x:t xml:space="preserve">Route override</x:t>
  </x:si>
  <x:si>
    <x:t xml:space="preserve">CONDUIT</x:t>
  </x:si>
  <x:si>
    <x:t xml:space="preserve">CUSTOM JOB — UNIVERSAL BUILDER</x:t>
  </x:si>
  <x:si>
    <x:t xml:space="preserve">For heat units, industrial work and anything the quick modules do not cover. Build the job from simple components.</x:t>
  </x:si>
  <x:si>
    <x:t xml:space="preserve">ITEM</x:t>
  </x:si>
  <x:si>
    <x:t xml:space="preserve">TYPE</x:t>
  </x:si>
  <x:si>
    <x:t xml:space="preserve">QTY</x:t>
  </x:si>
  <x:si>
    <x:t xml:space="preserve">UNIT</x:t>
  </x:si>
  <x:si>
    <x:t xml:space="preserve">MATERIAL COST EA</x:t>
  </x:si>
  <x:si>
    <x:t xml:space="preserve">LABOUR HRS EA</x:t>
  </x:si>
  <x:si>
    <x:t xml:space="preserve">MATERIAL TOTAL</x:t>
  </x:si>
  <x:si>
    <x:t xml:space="preserve">LABOUR HRS</x:t>
  </x:si>
  <x:si>
    <x:t xml:space="preserve">SELL CONTRIBUTION</x:t>
  </x:si>
  <x:si>
    <x:t xml:space="preserve">NOTES</x:t>
  </x:si>
  <x:si>
    <x:t xml:space="preserve">Heat unit / equipment</x:t>
  </x:si>
  <x:si>
    <x:t xml:space="preserve">Equipment</x:t>
  </x:si>
  <x:si>
    <x:t xml:space="preserve">ea</x:t>
  </x:si>
  <x:si>
    <x:t xml:space="preserve">Cable</x:t>
  </x:si>
  <x:si>
    <x:t xml:space="preserve">m</x:t>
  </x:si>
  <x:si>
    <x:t xml:space="preserve">Conduit / tray / containment</x:t>
  </x:si>
  <x:si>
    <x:t xml:space="preserve">Containment</x:t>
  </x:si>
  <x:si>
    <x:t xml:space="preserve">Switchgear / isolator</x:t>
  </x:si>
  <x:si>
    <x:t xml:space="preserve">Switchgear</x:t>
  </x:si>
  <x:si>
    <x:t xml:space="preserve">Access equipment / hire</x:t>
  </x:si>
  <x:si>
    <x:t xml:space="preserve">Access / Hire</x:t>
  </x:si>
  <x:si>
    <x:t xml:space="preserve">item</x:t>
  </x:si>
  <x:si>
    <x:t xml:space="preserve">Electrician labour</x:t>
  </x:si>
  <x:si>
    <x:t xml:space="preserve">Labour</x:t>
  </x:si>
  <x:si>
    <x:t xml:space="preserve">hr</x:t>
  </x:si>
  <x:si>
    <x:t xml:space="preserve">Custom item 1</x:t>
  </x:si>
  <x:si>
    <x:t xml:space="preserve">Other</x:t>
  </x:si>
  <x:si>
    <x:t xml:space="preserve">Custom item 2</x:t>
  </x:si>
  <x:si>
    <x:t xml:space="preserve">Custom item 3</x:t>
  </x:si>
  <x:si>
    <x:t xml:space="preserve">Custom item 4</x:t>
  </x:si>
  <x:si>
    <x:t xml:space="preserve">CUSTOM TOTALS</x:t>
  </x:si>
  <x:si>
    <x:t xml:space="preserve">VALUE</x:t>
  </x:si>
  <x:si>
    <x:t xml:space="preserve">Labour hrs</x:t>
  </x:si>
  <x:si>
    <x:t xml:space="preserve">AUSSIE SPARKY QUOTE BUILDER — JOB SUMMARY</x:t>
  </x:si>
  <x:si>
    <x:t xml:space="preserve">Quick jobs + reusable circuits + custom work all feed one final price. Whole-job costs are applied once.</x:t>
  </x:si>
  <x:si>
    <x:t xml:space="preserve">MODULE</x:t>
  </x:si>
  <x:si>
    <x:t xml:space="preserve">MATERIALS EX GST</x:t>
  </x:si>
  <x:si>
    <x:t xml:space="preserve">MODULE CONTRIBUTION EX GST</x:t>
  </x:si>
  <x:si>
    <x:t xml:space="preserve">WHOLE JOB</x:t>
  </x:si>
  <x:si>
    <x:t xml:space="preserve">GPO</x:t>
  </x:si>
  <x:si>
    <x:t xml:space="preserve">Module labour hrs</x:t>
  </x:si>
  <x:si>
    <x:t xml:space="preserve">Light Install</x:t>
  </x:si>
  <x:si>
    <x:t xml:space="preserve">Whole-job setup / test / pack-up</x:t>
  </x:si>
  <x:si>
    <x:t xml:space="preserve">Ceiling Fan</x:t>
  </x:si>
  <x:si>
    <x:t xml:space="preserve">Job-wide extra labour</x:t>
  </x:si>
  <x:si>
    <x:t xml:space="preserve">New Circuit</x:t>
  </x:si>
  <x:si>
    <x:t xml:space="preserve">TOTAL LABOUR TIME</x:t>
  </x:si>
  <x:si>
    <x:t xml:space="preserve">Custom Job</x:t>
  </x:si>
  <x:si>
    <x:t xml:space="preserve">Total materials ex GST</x:t>
  </x:si>
  <x:si>
    <x:t xml:space="preserve">Materials incl auto markup</x:t>
  </x:si>
  <x:si>
    <x:t xml:space="preserve">Travel / callout</x:t>
  </x:si>
  <x:si>
    <x:t xml:space="preserve">Subtotal after overhead + contingency</x:t>
  </x:si>
  <x:si>
    <x:t xml:space="preserve">GST</x:t>
  </x:si>
  <x:si>
    <x:t xml:space="preserve">FINAL JOB TOTAL INC GST</x:t>
  </x:si>
  <x:si>
    <x:t xml:space="preserve">Aussie Sparky Quote Builder — Settings</x:t>
  </x:si>
  <x:si>
    <x:t xml:space="preserve">Editable business rates, default materials and automatic material markup tiers.</x:t>
  </x:si>
  <x:si>
    <x:t xml:space="preserve">BUSINESS SETTING</x:t>
  </x:si>
  <x:si>
    <x:t xml:space="preserve">DEFAULT MATERIAL</x:t>
  </x:si>
  <x:si>
    <x:t xml:space="preserve">COST EX GST</x:t>
  </x:si>
  <x:si>
    <x:t xml:space="preserve">CIRCUIT MATERIAL</x:t>
  </x:si>
  <x:si>
    <x:t xml:space="preserve">AUTO MATERIAL MARKUP</x:t>
  </x:si>
  <x:si>
    <x:t xml:space="preserve">Labour sell rate / hr</x:t>
  </x:si>
  <x:si>
    <x:t xml:space="preserve">Standard double GPO</x:t>
  </x:si>
  <x:si>
    <x:t xml:space="preserve">10 A RCBO</x:t>
  </x:si>
  <x:si>
    <x:t xml:space="preserve">Cost up to $50</x:t>
  </x:si>
  <x:si>
    <x:t xml:space="preserve">Internal labour cost / hr</x:t>
  </x:si>
  <x:si>
    <x:t xml:space="preserve">Mounting / sundries per GPO</x:t>
  </x:si>
  <x:si>
    <x:t xml:space="preserve">16 A RCBO</x:t>
  </x:si>
  <x:si>
    <x:t xml:space="preserve">Cost up to $200</x:t>
  </x:si>
  <x:si>
    <x:t xml:space="preserve">Legacy material markup (not used)</x:t>
  </x:si>
  <x:si>
    <x:t xml:space="preserve">Cable per metre</x:t>
  </x:si>
  <x:si>
    <x:t xml:space="preserve">20 A RCBO</x:t>
  </x:si>
  <x:si>
    <x:t xml:space="preserve">Cost up to $500</x:t>
  </x:si>
  <x:si>
    <x:t xml:space="preserve">Overhead allowance</x:t>
  </x:si>
  <x:si>
    <x:t xml:space="preserve">Conduit per metre</x:t>
  </x:si>
  <x:si>
    <x:t xml:space="preserve">32 A RCBO</x:t>
  </x:si>
  <x:si>
    <x:t xml:space="preserve">Cost up to $1,500</x:t>
  </x:si>
  <x:si>
    <x:t xml:space="preserve">Contingency allowance</x:t>
  </x:si>
  <x:si>
    <x:t xml:space="preserve">Exterior brick allowance / GPO</x:t>
  </x:si>
  <x:si>
    <x:t xml:space="preserve">Circuit labels / sundries</x:t>
  </x:si>
  <x:si>
    <x:t xml:space="preserve">Cost up to $3,000</x:t>
  </x:si>
  <x:si>
    <x:t xml:space="preserve">Weatherboard fittings / run</x:t>
  </x:si>
  <x:si>
    <x:t xml:space="preserve">Isolator allowance</x:t>
  </x:si>
  <x:si>
    <x:t xml:space="preserve">Cost above $3,000</x:t>
  </x:si>
  <x:si>
    <x:t xml:space="preserve">Minimum job charge ex GST</x:t>
  </x:si>
  <x:si>
    <x:t xml:space="preserve">Misc consumables / job</x:t>
  </x:si>
  <x:si>
    <x:t xml:space="preserve">Note</x:t>
  </x:si>
  <x:si>
    <x:t xml:space="preserve">Editable — applied automatically from total raw material cost</x:t>
  </x:si>
  <x:si>
    <x:t xml:space="preserve">Travel / callout ex GST</x:t>
  </x:si>
  <x:si>
    <x:t xml:space="preserve">Timber support / fan</x:t>
  </x:si>
  <x:si>
    <x:t xml:space="preserve">Quote rounding increment</x:t>
  </x:si>
  <x:si>
    <x:t xml:space="preserve">Universal Quote Engine — Assumptions</x:t>
  </x:si>
  <x:si>
    <x:t xml:space="preserve">Editable labour assumptions. This is the engine room; normal quoting happens on the job tabs.</x:t>
  </x:si>
  <x:si>
    <x:t xml:space="preserve">ROUTE / BASE</x:t>
  </x:si>
  <x:si>
    <x:t xml:space="preserve">HRS</x:t>
  </x:si>
  <x:si>
    <x:t xml:space="preserve">DIFFICULTY</x:t>
  </x:si>
  <x:si>
    <x:t xml:space="preserve">V0.9 RELATIONSHIP</x:t>
  </x:si>
  <x:si>
    <x:t xml:space="preserve">Whole-job setup/test/pack-up</x:t>
  </x:si>
  <x:si>
    <x:t xml:space="preserve">Interior wall / GPO</x:t>
  </x:si>
  <x:si>
    <x:t xml:space="preserve">Standard light each</x:t>
  </x:si>
  <x:si>
    <x:t xml:space="preserve">Additional GPO same run</x:t>
  </x:si>
  <x:si>
    <x:t xml:space="preserve">GPO fit-off each</x:t>
  </x:si>
  <x:si>
    <x:t xml:space="preserve">Exterior weatherboard / run</x:t>
  </x:si>
  <x:si>
    <x:t xml:space="preserve">Downlight each</x:t>
  </x:si>
  <x:si>
    <x:t xml:space="preserve">Additional GPO separate run</x:t>
  </x:si>
  <x:si>
    <x:t xml:space="preserve">GPO run setup</x:t>
  </x:si>
  <x:si>
    <x:t xml:space="preserve">Near external corner / run</x:t>
  </x:si>
  <x:si>
    <x:t xml:space="preserve">New downlight position each</x:t>
  </x:si>
  <x:si>
    <x:t xml:space="preserve">GPO high point roof relief</x:t>
  </x:si>
  <x:si>
    <x:t xml:space="preserve">Underfloor / metre</x:t>
  </x:si>
  <x:si>
    <x:t xml:space="preserve">Limited underfloor / run</x:t>
  </x:si>
  <x:si>
    <x:t xml:space="preserve">Pendant each</x:t>
  </x:si>
  <x:si>
    <x:t xml:space="preserve">New light base position each</x:t>
  </x:si>
  <x:si>
    <x:t xml:space="preserve">Tiled roof / metre</x:t>
  </x:si>
  <x:si>
    <x:t xml:space="preserve">Two storey / run</x:t>
  </x:si>
  <x:si>
    <x:t xml:space="preserve">Batten each</x:t>
  </x:si>
  <x:si>
    <x:t xml:space="preserve">New light tiled roof / run</x:t>
  </x:si>
  <x:si>
    <x:t xml:space="preserve">Pitched metal / metre</x:t>
  </x:si>
  <x:si>
    <x:t xml:space="preserve">Concrete slab / run</x:t>
  </x:si>
  <x:si>
    <x:t xml:space="preserve">First fan install</x:t>
  </x:si>
  <x:si>
    <x:t xml:space="preserve">New light pitched metal / run</x:t>
  </x:si>
  <x:si>
    <x:t xml:space="preserve">Flat metal / metre</x:t>
  </x:si>
  <x:si>
    <x:t xml:space="preserve">Flat roof / run</x:t>
  </x:si>
  <x:si>
    <x:t xml:space="preserve">Additional fan each</x:t>
  </x:si>
  <x:si>
    <x:t xml:space="preserve">New light flat roof / run</x:t>
  </x:si>
  <x:si>
    <x:t xml:space="preserve">Conduit / metre</x:t>
  </x:si>
  <x:si>
    <x:t xml:space="preserve">Flat roof + no floor / run</x:t>
  </x:si>
  <x:si>
    <x:t xml:space="preserve">Fan timber support each</x:t>
  </x:si>
  <x:si>
    <x:t xml:space="preserve">New light no roof access / run</x:t>
  </x:si>
  <x:si>
    <x:t xml:space="preserve">Open frame / metre</x:t>
  </x:si>
  <x:si>
    <x:t xml:space="preserve">New circuit board work</x:t>
  </x:si>
  <x:si>
    <x:t xml:space="preserve">New light open frame / run</x:t>
  </x:si>
  <x:si>
    <x:t xml:space="preserve">HouseEra</x:t>
  </x:si>
  <x:si>
    <x:t xml:space="preserve">RoofType</x:t>
  </x:si>
  <x:si>
    <x:t xml:space="preserve">FloorAccess</x:t>
  </x:si>
  <x:si>
    <x:t xml:space="preserve">FloorConstruction</x:t>
  </x:si>
  <x:si>
    <x:t xml:space="preserve">YesNo</x:t>
  </x:si>
  <x:si>
    <x:t xml:space="preserve">Wall</x:t>
  </x:si>
  <x:si>
    <x:t xml:space="preserve">Layout</x:t>
  </x:si>
  <x:si>
    <x:t xml:space="preserve">CableSize</x:t>
  </x:si>
  <x:si>
    <x:t xml:space="preserve">RCBO</x:t>
  </x:si>
  <x:si>
    <x:t xml:space="preserve">CustomType</x:t>
  </x:si>
  <x:si>
    <x:t xml:space="preserve">LightType</x:t>
  </x:si>
  <x:si>
    <x:t xml:space="preserve">HoleType</x:t>
  </x:si>
  <x:si>
    <x:t xml:space="preserve">FanInstall</x:t>
  </x:si>
  <x:si>
    <x:t xml:space="preserve">Route</x:t>
  </x:si>
  <x:si>
    <x:t xml:space="preserve">Older / underfloor era</x:t>
  </x:si>
  <x:si>
    <x:t xml:space="preserve">Tiled</x:t>
  </x:si>
  <x:si>
    <x:t xml:space="preserve">Accessible</x:t>
  </x:si>
  <x:si>
    <x:t xml:space="preserve">Timber / accessible</x:t>
  </x:si>
  <x:si>
    <x:t xml:space="preserve">1.5 mm²</x:t>
  </x:si>
  <x:si>
    <x:t xml:space="preserve">AUTO</x:t>
  </x:si>
  <x:si>
    <x:t xml:space="preserve">Standard light fitting</x:t>
  </x:si>
  <x:si>
    <x:t xml:space="preserve">Existing hole / position</x:t>
  </x:si>
  <x:si>
    <x:t xml:space="preserve">Two storey</x:t>
  </x:si>
  <x:si>
    <x:t xml:space="preserve">Limited</x:t>
  </x:si>
  <x:si>
    <x:t xml:space="preserve">High</x:t>
  </x:si>
  <x:si>
    <x:t xml:space="preserve">Exterior brick</x:t>
  </x:si>
  <x:si>
    <x:t xml:space="preserve">Separate locations</x:t>
  </x:si>
  <x:si>
    <x:t xml:space="preserve">2.5 mm²</x:t>
  </x:si>
  <x:si>
    <x:t xml:space="preserve">10 A</x:t>
  </x:si>
  <x:si>
    <x:t xml:space="preserve">Customer supplied</x:t>
  </x:si>
  <x:si>
    <x:t xml:space="preserve">New fan position</x:t>
  </x:si>
  <x:si>
    <x:t xml:space="preserve">UNDERFLOOR</x:t>
  </x:si>
  <x:si>
    <x:t xml:space="preserve">Flat metal</x:t>
  </x:si>
  <x:si>
    <x:t xml:space="preserve">Exterior weatherboard</x:t>
  </x:si>
  <x:si>
    <x:t xml:space="preserve">4 mm²</x:t>
  </x:si>
  <x:si>
    <x:t xml:space="preserve">16 A</x:t>
  </x:si>
  <x:si>
    <x:t xml:space="preserve">Pendant</x:t>
  </x:si>
  <x:si>
    <x:t xml:space="preserve">ROOF</x:t>
  </x:si>
  <x:si>
    <x:t xml:space="preserve">No practical roof access</x:t>
  </x:si>
  <x:si>
    <x:t xml:space="preserve">20 A</x:t>
  </x:si>
  <x:si>
    <x:t xml:space="preserve">Batten</x:t>
  </x:si>
  <x:si>
    <x:t xml:space="preserve">MANUAL / SITE CHECK</x:t>
  </x:si>
</x:sst>
</file>

<file path=xl/styles.xml><?xml version="1.0" encoding="utf-8"?>
<x:styleSheet xmlns:x="http://schemas.openxmlformats.org/spreadsheetml/2006/main">
  <x:numFmts count="2">
    <x:numFmt numFmtId="164" formatCode="\$#,##0.00"/>
    <x:numFmt numFmtId="165" formatCode="0.00\ &quot;hrs&quot;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1F2937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AF0F5"/>
      </x:patternFill>
    </x:fill>
    <x:fill>
      <x:patternFill patternType="solid">
        <x:fgColor rgb="FF1F6D67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  <x:fill>
      <x:patternFill patternType="solid">
        <x:fgColor rgb="FFE2F0D9"/>
      </x:patternFill>
    </x:fill>
    <x:fill>
      <x:patternFill patternType="solid">
        <x:fgColor rgb="FF70AD47"/>
      </x:patternFill>
    </x:fill>
    <x:fill>
      <x:patternFill patternType="solid">
        <x:fgColor rgb="FF0B5D52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3" fillId="0" borderId="0" xfId="0" applyFont="1" applyAlignment="1">
      <x:alignment vertical="center" wrapText="1"/>
    </x:xf>
    <x:xf numFmtId="0" fontId="2" fillId="4" borderId="0" xfId="0" applyFont="1" applyFill="1" applyAlignment="1">
      <x:alignment vertical="center" wrapText="1"/>
    </x:xf>
    <x:xf numFmtId="0" fontId="3" fillId="5" borderId="0" xfId="0" applyFont="1" applyFill="1" applyAlignment="1">
      <x:alignment vertical="center" wrapText="1"/>
    </x:xf>
    <x:xf numFmtId="0" fontId="3" fillId="6" borderId="0" xfId="0" applyFont="1" applyFill="1" applyAlignment="1">
      <x:alignment vertical="center" wrapText="1"/>
    </x:xf>
    <x:xf numFmtId="0" fontId="3" fillId="7" borderId="0" xfId="0" applyFont="1" applyFill="1" applyAlignment="1">
      <x:alignment vertical="center" wrapText="1"/>
    </x:xf>
    <x:xf numFmtId="0" fontId="2" fillId="8" borderId="0" xfId="0" applyFont="1" applyFill="1" applyAlignment="1">
      <x:alignment vertical="center" wrapText="1"/>
    </x:xf>
    <x:xf numFmtId="164" fontId="3" fillId="7" borderId="0" xfId="0" applyNumberFormat="1" applyFont="1" applyFill="1" applyAlignment="1">
      <x:alignment vertical="center" wrapText="1"/>
    </x:xf>
    <x:xf numFmtId="164" fontId="3" fillId="0" borderId="0" xfId="0" applyNumberFormat="1" applyFont="1" applyAlignment="1">
      <x:alignment vertical="center" wrapText="1"/>
    </x:xf>
    <x:xf numFmtId="164" fontId="2" fillId="8" borderId="0" xfId="0" applyNumberFormat="1" applyFont="1" applyFill="1" applyAlignment="1">
      <x:alignment vertical="center" wrapText="1"/>
    </x:xf>
    <x:xf numFmtId="164" fontId="3" fillId="5" borderId="0" xfId="0" applyNumberFormat="1" applyFont="1" applyFill="1" applyAlignment="1">
      <x:alignment vertical="center" wrapText="1"/>
    </x:xf>
    <x:xf numFmtId="0" fontId="2" fillId="9" borderId="0" xfId="0" applyFont="1" applyFill="1" applyAlignment="1">
      <x:alignment vertical="center" wrapText="1"/>
    </x:xf>
    <x:xf numFmtId="0" fontId="1" fillId="9" borderId="0" xfId="0" applyFont="1" applyFill="1"/>
    <x:xf numFmtId="9" fontId="0" fillId="0" borderId="0" xfId="0" applyNumberFormat="1"/>
    <x:xf numFmtId="0" fontId="0" fillId="0" borderId="0" xfId="0" applyAlignment="1">
      <x:alignment wrapText="1"/>
    </x:xf>
    <x:xf numFmtId="9" fontId="3" fillId="5" borderId="0" xfId="0" applyNumberFormat="1" applyFont="1" applyFill="1" applyAlignment="1">
      <x:alignment vertical="center" wrapText="1"/>
    </x:xf>
    <x:xf numFmtId="2" fontId="0" fillId="0" borderId="0" xfId="0" applyNumberFormat="1"/>
    <x:xf numFmtId="165" fontId="3" fillId="7" borderId="0" xfId="0" applyNumberFormat="1" applyFont="1" applyFill="1" applyAlignment="1">
      <x:alignment vertical="center" wrapText="1"/>
    </x:xf>
    <x:xf numFmtId="0" fontId="2" fillId="2" borderId="0" xfId="0" applyFont="1" applyFill="1" applyAlignment="1">
      <x:alignment vertical="center" wrapText="1"/>
    </x:xf>
    <x:xf numFmtId="0" fontId="4" fillId="3" borderId="0" xfId="0" applyFont="1" applyFill="1" applyAlignment="1">
      <x:alignment vertical="center" wrapText="1"/>
    </x:xf>
    <x:xf numFmtId="0" fontId="2" fillId="4" borderId="0" xfId="0" applyFont="1" applyFill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e1b697b954246" /><Relationship Type="http://schemas.openxmlformats.org/officeDocument/2006/relationships/theme" Target="/xl/theme/theme1.xml" Id="R4b7a1b70faab442c" /><Relationship Type="http://schemas.openxmlformats.org/officeDocument/2006/relationships/sharedStrings" Target="/xl/sharedStrings.xml" Id="Rf95192f369894de3" /><Relationship Type="http://schemas.openxmlformats.org/officeDocument/2006/relationships/worksheet" Target="/xl/worksheets/sheet1.xml" Id="R1db226524f6942a9" /><Relationship Type="http://schemas.openxmlformats.org/officeDocument/2006/relationships/worksheet" Target="/xl/worksheets/sheet2.xml" Id="Rfcb85a82f21b49e3" /><Relationship Type="http://schemas.openxmlformats.org/officeDocument/2006/relationships/worksheet" Target="/xl/worksheets/sheet3.xml" Id="R8bc64d7e0b2842e3" /><Relationship Type="http://schemas.openxmlformats.org/officeDocument/2006/relationships/worksheet" Target="/xl/worksheets/sheet4.xml" Id="R6ac686429e454d0a" /><Relationship Type="http://schemas.openxmlformats.org/officeDocument/2006/relationships/worksheet" Target="/xl/worksheets/sheet5.xml" Id="Re8df470e81ac4217" /><Relationship Type="http://schemas.openxmlformats.org/officeDocument/2006/relationships/worksheet" Target="/xl/worksheets/sheet6.xml" Id="R45ac94589d684d17" /><Relationship Type="http://schemas.openxmlformats.org/officeDocument/2006/relationships/worksheet" Target="/xl/worksheets/sheet7.xml" Id="Rccad07a7f837441d" /><Relationship Type="http://schemas.openxmlformats.org/officeDocument/2006/relationships/worksheet" Target="/xl/worksheets/sheet8.xml" Id="R1c968c8462574b55" /><Relationship Type="http://schemas.openxmlformats.org/officeDocument/2006/relationships/worksheet" Target="/xl/worksheets/sheet9.xml" Id="Rda400d6402e54c04" /><Relationship Type="http://schemas.openxmlformats.org/officeDocument/2006/relationships/worksheet" Target="/xl/worksheets/sheet10.xml" Id="R49ee80702ead4a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7" customWidth="1"/>
    <x:col min="2" max="2" width="22" customWidth="1"/>
    <x:col min="3" max="3" width="12" customWidth="1"/>
    <x:col min="4" max="4" width="28" customWidth="1"/>
    <x:col min="5" max="8" width="18" customWidth="1"/>
    <x:col min="9" max="9" width="20" customWidth="1"/>
    <x:col min="10" max="10" width="28" customWidth="1"/>
  </x:cols>
  <x:sheetData>
    <x:row r="1" ht="30" customHeight="1">
      <x:c r="A1" s="18" t="s">
        <x:v>0</x:v>
      </x:c>
      <x:c r="B1" s="18"/>
      <x:c r="C1" s="18"/>
      <x:c r="D1" s="18"/>
      <x:c r="E1" s="18"/>
      <x:c r="F1" s="18"/>
      <x:c r="G1" s="18"/>
      <x:c r="H1" s="18"/>
      <x:c r="I1" s="1"/>
      <x:c r="J1" s="1"/>
    </x:row>
    <x:row r="2" ht="30" customHeight="1">
      <x:c r="A2" s="19" t="s">
        <x:v>1</x:v>
      </x:c>
      <x:c r="B2" s="19"/>
      <x:c r="C2" s="19"/>
      <x:c r="D2" s="19"/>
      <x:c r="E2" s="19"/>
      <x:c r="F2" s="19"/>
      <x:c r="G2" s="19"/>
      <x:c r="H2" s="19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2" t="s">
        <x:v>2</x:v>
      </x:c>
      <x:c r="B4" s="2" t="s">
        <x:v>3</x:v>
      </x:c>
      <x:c r="C4" s="1"/>
      <x:c r="D4" s="20" t="s">
        <x:v>4</x:v>
      </x:c>
      <x:c r="E4" s="20"/>
      <x:c r="F4" s="20"/>
      <x:c r="G4" s="20"/>
      <x:c r="H4" s="20"/>
      <x:c r="I4" s="1"/>
      <x:c r="J4" s="1"/>
    </x:row>
    <x:row r="5">
      <x:c r="A5" s="1" t="s">
        <x:v>5</x:v>
      </x:c>
      <x:c r="B5" s="3" t="s">
        <x:v>6</x:v>
      </x:c>
      <x:c r="C5" s="1"/>
      <x:c r="D5" s="1" t="s">
        <x:v>7</x:v>
      </x:c>
      <x:c r="E5" s="1"/>
      <x:c r="F5" s="1"/>
      <x:c r="G5" s="1"/>
      <x:c r="H5" s="1"/>
      <x:c r="I5" s="1"/>
      <x:c r="J5" s="1"/>
    </x:row>
    <x:row r="6" ht="27">
      <x:c r="A6" s="1" t="s">
        <x:v>8</x:v>
      </x:c>
      <x:c r="B6" s="3" t="s">
        <x:v>9</x:v>
      </x:c>
      <x:c r="C6" s="1"/>
      <x:c r="D6" s="1" t="s">
        <x:v>10</x:v>
      </x:c>
      <x:c r="E6" s="1"/>
      <x:c r="F6" s="1"/>
      <x:c r="G6" s="1"/>
      <x:c r="H6" s="1"/>
      <x:c r="I6" s="1"/>
      <x:c r="J6" s="1"/>
    </x:row>
    <x:row r="7" ht="27">
      <x:c r="A7" s="1" t="s">
        <x:v>11</x:v>
      </x:c>
      <x:c r="B7" s="3" t="s">
        <x:v>12</x:v>
      </x:c>
      <x:c r="C7" s="1"/>
      <x:c r="D7" s="1" t="s">
        <x:v>13</x:v>
      </x:c>
      <x:c r="E7" s="1"/>
      <x:c r="F7" s="1"/>
      <x:c r="G7" s="1"/>
      <x:c r="H7" s="1"/>
      <x:c r="I7" s="1"/>
      <x:c r="J7" s="1"/>
    </x:row>
    <x:row r="8" ht="27">
      <x:c r="A8" s="1" t="s">
        <x:v>14</x:v>
      </x:c>
      <x:c r="B8" s="3" t="s">
        <x:v>15</x:v>
      </x:c>
      <x:c r="C8" s="1"/>
      <x:c r="D8" s="1" t="s">
        <x:v>16</x:v>
      </x:c>
      <x:c r="E8" s="1"/>
      <x:c r="F8" s="1"/>
      <x:c r="G8" s="1"/>
      <x:c r="H8" s="1"/>
      <x:c r="I8" s="1"/>
      <x:c r="J8" s="1"/>
    </x:row>
    <x:row r="9" ht="27">
      <x:c r="A9" s="1" t="s">
        <x:v>17</x:v>
      </x:c>
      <x:c r="B9" s="3" t="s">
        <x:v>18</x:v>
      </x:c>
      <x:c r="C9" s="1"/>
      <x:c r="D9" s="1" t="s">
        <x:v>19</x:v>
      </x:c>
      <x:c r="E9" s="1"/>
      <x:c r="F9" s="1"/>
      <x:c r="G9" s="1"/>
      <x:c r="H9" s="1"/>
      <x:c r="I9" s="1"/>
      <x:c r="J9" s="1"/>
    </x:row>
    <x:row r="10" ht="27">
      <x:c r="A10" s="1" t="s">
        <x:v>20</x:v>
      </x:c>
      <x:c r="B10" s="3" t="s">
        <x:v>21</x:v>
      </x:c>
      <x:c r="C10" s="1"/>
      <x:c r="D10" s="1" t="s">
        <x:v>22</x:v>
      </x:c>
      <x:c r="E10" s="1"/>
      <x:c r="F10" s="1"/>
      <x:c r="G10" s="1"/>
      <x:c r="H10" s="1"/>
      <x:c r="I10" s="1"/>
      <x:c r="J10" s="1"/>
    </x:row>
    <x:row r="11" ht="27">
      <x:c r="A11" s="1"/>
      <x:c r="B11" s="1"/>
      <x:c r="C11" s="1"/>
      <x:c r="D11" s="1" t="s">
        <x:v>23</x:v>
      </x:c>
      <x:c r="E11" s="1"/>
      <x:c r="F11" s="1"/>
      <x:c r="G11" s="1"/>
      <x:c r="H11" s="1"/>
      <x:c r="I11" s="1"/>
      <x:c r="J11" s="1"/>
    </x:row>
    <x:row r="12">
      <x:c r="A12" s="2" t="s">
        <x:v>24</x:v>
      </x:c>
      <x:c r="B12" s="2" t="s">
        <x:v>3</x:v>
      </x:c>
      <x:c r="C12" s="1"/>
      <x:c r="D12" s="1"/>
      <x:c r="E12" s="1"/>
      <x:c r="F12" s="1"/>
      <x:c r="G12" s="1"/>
      <x:c r="H12" s="1"/>
      <x:c r="I12" s="1"/>
      <x:c r="J12" s="1"/>
    </x:row>
    <x:row r="13">
      <x:c r="A13" s="1" t="s">
        <x:v>25</x:v>
      </x:c>
      <x:c r="B13" s="3">
        <x:v>0</x:v>
      </x:c>
      <x:c r="C13" s="1"/>
      <x:c r="D13" s="1"/>
      <x:c r="E13" s="1"/>
      <x:c r="F13" s="1"/>
      <x:c r="G13" s="1"/>
      <x:c r="H13" s="1"/>
      <x:c r="I13" s="1"/>
      <x:c r="J13" s="1"/>
    </x:row>
    <x:row r="14">
      <x:c r="A14" s="1" t="s">
        <x:v>26</x:v>
      </x:c>
      <x:c r="B14" s="3">
        <x:v>0</x:v>
      </x:c>
      <x:c r="C14" s="1"/>
      <x:c r="D14" s="1"/>
      <x:c r="E14" s="1"/>
      <x:c r="F14" s="1"/>
      <x:c r="G14" s="1"/>
      <x:c r="H14" s="1"/>
      <x:c r="I14" s="1"/>
      <x:c r="J14" s="1"/>
    </x:row>
    <x:row r="15">
      <x:c r="A15" s="1" t="s">
        <x:v>27</x:v>
      </x:c>
      <x:c r="B15" s="3">
        <x:v>0</x:v>
      </x:c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A1:H1"/>
    <x:mergeCell ref="A2:H2"/>
    <x:mergeCell ref="D4:H4"/>
  </x:mergeCells>
  <x:dataValidations count="6">
    <x:dataValidation type="list" sqref="B5">
      <x:formula1>Lists!$A$2:$A$3</x:formula1>
    </x:dataValidation>
    <x:dataValidation type="list" sqref="B6">
      <x:formula1>Lists!$B$2:$B$3</x:formula1>
    </x:dataValidation>
    <x:dataValidation type="list" sqref="B7">
      <x:formula1>Lists!$D$2:$D$4</x:formula1>
    </x:dataValidation>
    <x:dataValidation type="list" sqref="B8">
      <x:formula1>Lists!$E$2:$E$3</x:formula1>
    </x:dataValidation>
    <x:dataValidation type="list" sqref="B9">
      <x:formula1>Lists!$C$2:$C$5</x:formula1>
    </x:dataValidation>
    <x:dataValidation type="list" sqref="B10">
      <x:formula1>Lists!$F$2:$F$3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7" customWidth="1"/>
    <x:col min="2" max="2" width="22" customWidth="1"/>
    <x:col min="3" max="3" width="12" customWidth="1"/>
    <x:col min="4" max="4" width="28" customWidth="1"/>
    <x:col min="5" max="8" width="18" customWidth="1"/>
    <x:col min="9" max="9" width="20" customWidth="1"/>
    <x:col min="10" max="10" width="28" customWidth="1"/>
  </x:cols>
  <x:sheetData>
    <x:row r="1" ht="30" customHeight="1">
      <x:c r="A1" s="18" t="s">
        <x:v>28</x:v>
      </x:c>
      <x:c r="B1" s="18"/>
      <x:c r="C1" s="18"/>
      <x:c r="D1" s="18"/>
      <x:c r="E1" s="18"/>
      <x:c r="F1" s="18"/>
      <x:c r="G1" s="18"/>
      <x:c r="H1" s="18"/>
      <x:c r="I1" s="1"/>
      <x:c r="J1" s="1"/>
    </x:row>
    <x:row r="2" ht="30" customHeight="1">
      <x:c r="A2" s="19" t="s">
        <x:v>29</x:v>
      </x:c>
      <x:c r="B2" s="19"/>
      <x:c r="C2" s="19"/>
      <x:c r="D2" s="19"/>
      <x:c r="E2" s="19"/>
      <x:c r="F2" s="19"/>
      <x:c r="G2" s="19"/>
      <x:c r="H2" s="19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2" t="s">
        <x:v>30</x:v>
      </x:c>
      <x:c r="B4" s="2" t="s">
        <x:v>31</x:v>
      </x:c>
      <x:c r="C4" s="1"/>
      <x:c r="D4" s="2" t="s">
        <x:v>32</x:v>
      </x:c>
      <x:c r="E4" s="2" t="s">
        <x:v>33</x:v>
      </x:c>
      <x:c r="F4" s="1"/>
      <x:c r="G4" s="1"/>
      <x:c r="H4" s="1"/>
      <x:c r="I4" s="1"/>
      <x:c r="J4" s="1"/>
    </x:row>
    <x:row r="5">
      <x:c r="A5" s="1" t="s">
        <x:v>5</x:v>
      </x:c>
      <x:c r="B5" s="4" t="str">
        <x:f>'Job Setup'!B5</x:f>
        <x:v>Single storey</x:v>
      </x:c>
      <x:c r="C5" s="1"/>
      <x:c r="D5" s="1" t="s">
        <x:v>34</x:v>
      </x:c>
      <x:c r="E5" s="17" t="n">
        <x:f>IF(B13=0,0,Assumptions!$B$7+Assumptions!$B$6+MAX(B13-1,0)*IF(B17="Separate locations",Assumptions!$K$6,Assumptions!$K$5)+B18*IF(B10="Yes",Assumptions!$B$13,IF(AND(B6="Older / underfloor era",B7&lt;&gt;"No access",B8&lt;&gt;"Concrete slab"),Assumptions!$B$8,IF(B9="Tiled",Assumptions!$B$9,IF(B9="Pitched metal",Assumptions!$B$10,IF(B9="Flat metal",Assumptions!$B$11,Assumptions!$B$12)))))+IF(B15="Interior wall",MIN(B13,2)*Assumptions!$E$5,0)+IF(B15="Exterior weatherboard",IF(B17="Separate locations",B13,1)*Assumptions!$E$6,0)+IF(B16="Yes",IF(B17="Separate locations",B13,1)*Assumptions!$E$7,0)+IF(AND(B9="Flat metal",B14="Low",B10&lt;&gt;"Yes"),IF(AND(B6="Older / underfloor era",B7&lt;&gt;"No access",B8&lt;&gt;"Concrete slab"),0.20,Assumptions!$E$11+Assumptions!$E$12),0)-IF(AND(B9="Flat metal",B14="High",B10&lt;&gt;"Yes"),Assumptions!$K$7,0)+B20)</x:f>
        <x:v>3.5</x:v>
      </x:c>
      <x:c r="F5" s="1"/>
      <x:c r="G5" s="1"/>
      <x:c r="H5" s="1"/>
      <x:c r="I5" s="1"/>
      <x:c r="J5" s="1"/>
    </x:row>
    <x:row r="6">
      <x:c r="A6" s="1" t="s">
        <x:v>8</x:v>
      </x:c>
      <x:c r="B6" s="4" t="str">
        <x:f>'Job Setup'!B6</x:f>
        <x:v>Newer / roof era</x:v>
      </x:c>
      <x:c r="C6" s="1"/>
      <x:c r="D6" s="1" t="s">
        <x:v>35</x:v>
      </x:c>
      <x:c r="E6" s="7" t="n">
        <x:f>B13*(Settings!$E$5+Settings!$E$6)+B18*Settings!$E$7+B21</x:f>
        <x:v>180</x:v>
      </x:c>
      <x:c r="F6" s="1"/>
      <x:c r="G6" s="1"/>
      <x:c r="H6" s="1"/>
      <x:c r="I6" s="1"/>
      <x:c r="J6" s="1"/>
    </x:row>
    <x:row r="7">
      <x:c r="A7" s="1" t="s">
        <x:v>11</x:v>
      </x:c>
      <x:c r="B7" s="4" t="str">
        <x:f>'Job Setup'!B7</x:f>
        <x:v>No access</x:v>
      </x:c>
      <x:c r="C7" s="1"/>
      <x:c r="D7" s="1" t="s">
        <x:v>36</x:v>
      </x:c>
      <x:c r="E7" s="7" t="n">
        <x:f>E5*Settings!$B$5+E6*(1+IF(E6&lt;=50,Settings!$K$5,IF(E6&lt;=200,Settings!$K$6,IF(E6&lt;=500,Settings!$K$7,IF(E6&lt;=1500,Settings!$K$8,IF(E6&lt;=3000,Settings!$K$9,Settings!$K$10))))))</x:f>
        <x:v>856</x:v>
      </x:c>
      <x:c r="F7" s="1"/>
      <x:c r="G7" s="1"/>
      <x:c r="H7" s="1"/>
      <x:c r="I7" s="1"/>
      <x:c r="J7" s="1"/>
    </x:row>
    <x:row r="8">
      <x:c r="A8" s="1" t="s">
        <x:v>14</x:v>
      </x:c>
      <x:c r="B8" s="4" t="str">
        <x:f>'Job Setup'!B8</x:f>
        <x:v>Concrete slab</x:v>
      </x:c>
      <x:c r="C8" s="1"/>
      <x:c r="D8" s="1" t="s">
        <x:v>37</x:v>
      </x:c>
      <x:c r="E8" s="7" t="n">
        <x:f>'Job Summary'!G15</x:f>
        <x:v>5520</x:v>
      </x:c>
      <x:c r="F8" s="1"/>
      <x:c r="G8" s="1"/>
      <x:c r="H8" s="1"/>
      <x:c r="I8" s="1"/>
      <x:c r="J8" s="1"/>
    </x:row>
    <x:row r="9">
      <x:c r="A9" s="1" t="s">
        <x:v>17</x:v>
      </x:c>
      <x:c r="B9" s="4" t="str">
        <x:f>'Job Setup'!B9</x:f>
        <x:v>Pitched metal</x:v>
      </x:c>
      <x:c r="C9" s="1"/>
      <x:c r="D9" s="1" t="s">
        <x:v>38</x:v>
      </x:c>
      <x:c r="E9" s="8" t="n">
        <x:f>E5*Settings!$B$5</x:f>
        <x:v>595</x:v>
      </x:c>
      <x:c r="F9" s="1"/>
      <x:c r="G9" s="1"/>
      <x:c r="H9" s="1"/>
      <x:c r="I9" s="1"/>
      <x:c r="J9" s="1"/>
    </x:row>
    <x:row r="10">
      <x:c r="A10" s="1" t="s">
        <x:v>20</x:v>
      </x:c>
      <x:c r="B10" s="4" t="str">
        <x:f>'Job Setup'!B10</x:f>
        <x:v>No</x:v>
      </x:c>
      <x:c r="C10" s="1"/>
      <x:c r="D10" s="1"/>
      <x:c r="E10" s="1"/>
      <x:c r="F10" s="1"/>
      <x:c r="G10" s="1"/>
      <x:c r="H10" s="1"/>
      <x:c r="I10" s="1"/>
      <x:c r="J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>
      <x:c r="A12" s="2" t="s">
        <x:v>39</x:v>
      </x:c>
      <x:c r="B12" s="2" t="s">
        <x:v>3</x:v>
      </x:c>
      <x:c r="C12" s="1"/>
      <x:c r="D12" s="1"/>
      <x:c r="E12" s="1"/>
      <x:c r="F12" s="1"/>
      <x:c r="G12" s="1"/>
      <x:c r="H12" s="1"/>
      <x:c r="I12" s="1"/>
      <x:c r="J12" s="1"/>
    </x:row>
    <x:row r="13">
      <x:c r="A13" s="1" t="s">
        <x:v>40</x:v>
      </x:c>
      <x:c r="B13" s="3">
        <x:v>10</x:v>
      </x:c>
      <x:c r="C13" s="1"/>
      <x:c r="D13" s="1"/>
      <x:c r="E13" s="1"/>
      <x:c r="F13" s="1"/>
      <x:c r="G13" s="1"/>
      <x:c r="H13" s="1"/>
      <x:c r="I13" s="1"/>
      <x:c r="J13" s="1"/>
    </x:row>
    <x:row r="14">
      <x:c r="A14" s="1" t="s">
        <x:v>41</x:v>
      </x:c>
      <x:c r="B14" s="3" t="s">
        <x:v>42</x:v>
      </x:c>
      <x:c r="C14" s="1"/>
      <x:c r="D14" s="1"/>
      <x:c r="E14" s="1"/>
      <x:c r="F14" s="1"/>
      <x:c r="G14" s="1"/>
      <x:c r="H14" s="1"/>
      <x:c r="I14" s="1"/>
      <x:c r="J14" s="1"/>
    </x:row>
    <x:row r="15">
      <x:c r="A15" s="1" t="s">
        <x:v>43</x:v>
      </x:c>
      <x:c r="B15" s="3" t="s">
        <x:v>44</x:v>
      </x:c>
      <x:c r="C15" s="1"/>
      <x:c r="D15" s="1"/>
      <x:c r="E15" s="1"/>
      <x:c r="F15" s="1"/>
      <x:c r="G15" s="1"/>
      <x:c r="H15" s="1"/>
      <x:c r="I15" s="1"/>
      <x:c r="J15" s="1"/>
    </x:row>
    <x:row r="16">
      <x:c r="A16" s="1" t="s">
        <x:v>45</x:v>
      </x:c>
      <x:c r="B16" s="3" t="s">
        <x:v>21</x:v>
      </x:c>
      <x:c r="C16" s="1"/>
      <x:c r="D16" s="1"/>
      <x:c r="E16" s="1"/>
      <x:c r="F16" s="1"/>
      <x:c r="G16" s="1"/>
      <x:c r="H16" s="1"/>
      <x:c r="I16" s="1"/>
      <x:c r="J16" s="1"/>
    </x:row>
    <x:row r="17">
      <x:c r="A17" s="1" t="s">
        <x:v>46</x:v>
      </x:c>
      <x:c r="B17" s="3" t="s">
        <x:v>47</x:v>
      </x:c>
      <x:c r="C17" s="1"/>
      <x:c r="D17" s="1"/>
      <x:c r="E17" s="1"/>
      <x:c r="F17" s="1"/>
      <x:c r="G17" s="1"/>
      <x:c r="H17" s="1"/>
      <x:c r="I17" s="1"/>
      <x:c r="J17" s="1"/>
    </x:row>
    <x:row r="18">
      <x:c r="A18" s="1" t="s">
        <x:v>48</x:v>
      </x:c>
      <x:c r="B18" s="3">
        <x:v>0</x:v>
      </x:c>
      <x:c r="C18" s="1"/>
      <x:c r="D18" s="1"/>
      <x:c r="E18" s="1"/>
      <x:c r="F18" s="1"/>
      <x:c r="G18" s="1"/>
      <x:c r="H18" s="1"/>
      <x:c r="I18" s="1"/>
      <x:c r="J18" s="1"/>
    </x:row>
    <x:row r="19">
      <x:c r="A19" s="1" t="s">
        <x:v>49</x:v>
      </x:c>
      <x:c r="B19" s="3" t="s">
        <x:v>21</x:v>
      </x:c>
      <x:c r="C19" s="1"/>
      <x:c r="D19" s="1"/>
      <x:c r="E19" s="1"/>
      <x:c r="F19" s="1"/>
      <x:c r="G19" s="1"/>
      <x:c r="H19" s="1"/>
      <x:c r="I19" s="1"/>
      <x:c r="J19" s="1"/>
    </x:row>
    <x:row r="20">
      <x:c r="A20" s="1" t="s">
        <x:v>50</x:v>
      </x:c>
      <x:c r="B20" s="3">
        <x:v>0</x:v>
      </x:c>
      <x:c r="C20" s="1"/>
      <x:c r="D20" s="1"/>
      <x:c r="E20" s="1"/>
      <x:c r="F20" s="1"/>
      <x:c r="G20" s="1"/>
      <x:c r="H20" s="1"/>
      <x:c r="I20" s="1"/>
      <x:c r="J20" s="1"/>
    </x:row>
    <x:row r="21">
      <x:c r="A21" s="1" t="s">
        <x:v>51</x:v>
      </x:c>
      <x:c r="B21" s="3">
        <x:v>0</x:v>
      </x:c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7" customWidth="1"/>
    <x:col min="2" max="2" width="22" customWidth="1"/>
    <x:col min="3" max="3" width="12" customWidth="1"/>
    <x:col min="4" max="4" width="28" customWidth="1"/>
    <x:col min="5" max="8" width="18" customWidth="1"/>
    <x:col min="9" max="9" width="20" customWidth="1"/>
    <x:col min="10" max="10" width="28" customWidth="1"/>
  </x:cols>
  <x:sheetData>
    <x:row r="1" ht="30" customHeight="1">
      <x:c r="A1" s="18" t="s">
        <x:v>52</x:v>
      </x:c>
      <x:c r="B1" s="18"/>
      <x:c r="C1" s="18"/>
      <x:c r="D1" s="18"/>
      <x:c r="E1" s="18"/>
      <x:c r="F1" s="18"/>
      <x:c r="G1" s="18"/>
      <x:c r="H1" s="18"/>
      <x:c r="I1" s="1"/>
      <x:c r="J1" s="1"/>
    </x:row>
    <x:row r="2" ht="30" customHeight="1">
      <x:c r="A2" s="19" t="s">
        <x:v>53</x:v>
      </x:c>
      <x:c r="B2" s="19"/>
      <x:c r="C2" s="19"/>
      <x:c r="D2" s="19"/>
      <x:c r="E2" s="19"/>
      <x:c r="F2" s="19"/>
      <x:c r="G2" s="19"/>
      <x:c r="H2" s="19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2" t="s">
        <x:v>30</x:v>
      </x:c>
      <x:c r="B4" s="2" t="s">
        <x:v>31</x:v>
      </x:c>
      <x:c r="C4" s="1"/>
      <x:c r="D4" s="2" t="s">
        <x:v>32</x:v>
      </x:c>
      <x:c r="E4" s="2" t="s">
        <x:v>33</x:v>
      </x:c>
      <x:c r="F4" s="1"/>
      <x:c r="G4" s="1"/>
      <x:c r="H4" s="1"/>
      <x:c r="I4" s="1"/>
      <x:c r="J4" s="1"/>
    </x:row>
    <x:row r="5">
      <x:c r="A5" s="1" t="s">
        <x:v>5</x:v>
      </x:c>
      <x:c r="B5" s="4" t="str">
        <x:f>'Job Setup'!B5</x:f>
        <x:v>Single storey</x:v>
      </x:c>
      <x:c r="C5" s="1"/>
      <x:c r="D5" s="1" t="s">
        <x:v>34</x:v>
      </x:c>
      <x:c r="E5" s="17" t="n">
        <x:f>IF(B14=0,0,B14*IF(B13="Downlight",Assumptions!$H$6,IF(B13="Pendant",Assumptions!$H$8,IF(B13="Batten",Assumptions!$H$9,Assumptions!$H$5)))+IF(B15="New hole / position",B14*Assumptions!$K$8+IF(B10="Yes",Assumptions!$K$13,IF(B9="Flat metal",Assumptions!$K$11,IF(B9="Pitched metal",Assumptions!$K$10,IF(B9="Tiled",Assumptions!$K$9,Assumptions!$K$12))))+B17*IF(B10="Yes",Assumptions!$B$13,IF(B9="Flat metal",Assumptions!$B$11,IF(B9="Pitched metal",Assumptions!$B$10,IF(B9="Tiled",Assumptions!$B$9,Assumptions!$B$12)))),B17*IF(B10="Yes",Assumptions!$B$13,Assumptions!$B$9)*0.25)+B18)</x:f>
        <x:v>8.85</x:v>
      </x:c>
      <x:c r="F5" s="1"/>
      <x:c r="G5" s="1"/>
      <x:c r="H5" s="1"/>
      <x:c r="I5" s="1"/>
      <x:c r="J5" s="1"/>
    </x:row>
    <x:row r="6">
      <x:c r="A6" s="1" t="s">
        <x:v>8</x:v>
      </x:c>
      <x:c r="B6" s="4" t="str">
        <x:f>'Job Setup'!B6</x:f>
        <x:v>Newer / roof era</x:v>
      </x:c>
      <x:c r="C6" s="1"/>
      <x:c r="D6" s="1" t="s">
        <x:v>35</x:v>
      </x:c>
      <x:c r="E6" s="7" t="n">
        <x:f>IF(B16="Customer supplied",0,B14*IF(B13="Downlight",22,IF(B13="Pendant",45,IF(B13="Batten",18,25))))+B17*Settings!$E$7+B19</x:f>
        <x:v>330</x:v>
      </x:c>
      <x:c r="F6" s="1"/>
      <x:c r="G6" s="1"/>
      <x:c r="H6" s="1"/>
      <x:c r="I6" s="1"/>
      <x:c r="J6" s="1"/>
    </x:row>
    <x:row r="7">
      <x:c r="A7" s="1" t="s">
        <x:v>11</x:v>
      </x:c>
      <x:c r="B7" s="4" t="str">
        <x:f>'Job Setup'!B7</x:f>
        <x:v>No access</x:v>
      </x:c>
      <x:c r="C7" s="1"/>
      <x:c r="D7" s="1" t="s">
        <x:v>36</x:v>
      </x:c>
      <x:c r="E7" s="7" t="n">
        <x:f>E5*Settings!$B$5+E6*(1+IF(E6&lt;=50,Settings!$K$5,IF(E6&lt;=200,Settings!$K$6,IF(E6&lt;=500,Settings!$K$7,IF(E6&lt;=1500,Settings!$K$8,IF(E6&lt;=3000,Settings!$K$9,Settings!$K$10))))))</x:f>
        <x:v>1950</x:v>
      </x:c>
      <x:c r="F7" s="1"/>
      <x:c r="G7" s="1"/>
      <x:c r="H7" s="1"/>
      <x:c r="I7" s="1"/>
      <x:c r="J7" s="1"/>
    </x:row>
    <x:row r="8">
      <x:c r="A8" s="1" t="s">
        <x:v>14</x:v>
      </x:c>
      <x:c r="B8" s="4" t="str">
        <x:f>'Job Setup'!B8</x:f>
        <x:v>Concrete slab</x:v>
      </x:c>
      <x:c r="C8" s="1"/>
      <x:c r="D8" s="1" t="s">
        <x:v>37</x:v>
      </x:c>
      <x:c r="E8" s="7" t="n">
        <x:f>'Job Summary'!G15</x:f>
        <x:v>5520</x:v>
      </x:c>
      <x:c r="F8" s="1"/>
      <x:c r="G8" s="1"/>
      <x:c r="H8" s="1"/>
      <x:c r="I8" s="1"/>
      <x:c r="J8" s="1"/>
    </x:row>
    <x:row r="9">
      <x:c r="A9" s="1" t="s">
        <x:v>17</x:v>
      </x:c>
      <x:c r="B9" s="4" t="str">
        <x:f>'Job Setup'!B9</x:f>
        <x:v>Pitched metal</x:v>
      </x:c>
      <x:c r="C9" s="1"/>
      <x:c r="D9" s="1" t="s">
        <x:v>38</x:v>
      </x:c>
      <x:c r="E9" s="8" t="n">
        <x:f>E5*Settings!$B$5</x:f>
        <x:v>1504.5</x:v>
      </x:c>
      <x:c r="F9" s="1"/>
      <x:c r="G9" s="1"/>
      <x:c r="H9" s="1"/>
      <x:c r="I9" s="1"/>
      <x:c r="J9" s="1"/>
    </x:row>
    <x:row r="10">
      <x:c r="A10" s="1" t="s">
        <x:v>20</x:v>
      </x:c>
      <x:c r="B10" s="4" t="str">
        <x:f>'Job Setup'!B10</x:f>
        <x:v>No</x:v>
      </x:c>
      <x:c r="C10" s="1"/>
      <x:c r="D10" s="1"/>
      <x:c r="E10" s="1"/>
      <x:c r="F10" s="1"/>
      <x:c r="G10" s="1"/>
      <x:c r="H10" s="1"/>
      <x:c r="I10" s="1"/>
      <x:c r="J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>
      <x:c r="A12" s="2" t="s">
        <x:v>54</x:v>
      </x:c>
      <x:c r="B12" s="2" t="s">
        <x:v>3</x:v>
      </x:c>
      <x:c r="C12" s="1"/>
      <x:c r="D12" s="1"/>
      <x:c r="E12" s="1"/>
      <x:c r="F12" s="1"/>
      <x:c r="G12" s="1"/>
      <x:c r="H12" s="1"/>
      <x:c r="I12" s="1"/>
      <x:c r="J12" s="1"/>
    </x:row>
    <x:row r="13">
      <x:c r="A13" s="1" t="s">
        <x:v>55</x:v>
      </x:c>
      <x:c r="B13" s="3" t="s">
        <x:v>56</x:v>
      </x:c>
      <x:c r="C13" s="1"/>
      <x:c r="D13" s="1"/>
      <x:c r="E13" s="1"/>
      <x:c r="F13" s="1"/>
      <x:c r="G13" s="1"/>
      <x:c r="H13" s="1"/>
      <x:c r="I13" s="1"/>
      <x:c r="J13" s="1"/>
    </x:row>
    <x:row r="14">
      <x:c r="A14" s="1" t="s">
        <x:v>40</x:v>
      </x:c>
      <x:c r="B14" s="3">
        <x:v>15</x:v>
      </x:c>
      <x:c r="C14" s="1"/>
      <x:c r="D14" s="1"/>
      <x:c r="E14" s="1"/>
      <x:c r="F14" s="1"/>
      <x:c r="G14" s="1"/>
      <x:c r="H14" s="1"/>
      <x:c r="I14" s="1"/>
      <x:c r="J14" s="1"/>
    </x:row>
    <x:row r="15">
      <x:c r="A15" s="1" t="s">
        <x:v>57</x:v>
      </x:c>
      <x:c r="B15" s="3" t="s">
        <x:v>58</x:v>
      </x:c>
      <x:c r="C15" s="1"/>
      <x:c r="D15" s="1"/>
      <x:c r="E15" s="1"/>
      <x:c r="F15" s="1"/>
      <x:c r="G15" s="1"/>
      <x:c r="H15" s="1"/>
      <x:c r="I15" s="1"/>
      <x:c r="J15" s="1"/>
    </x:row>
    <x:row r="16">
      <x:c r="A16" s="1" t="s">
        <x:v>59</x:v>
      </x:c>
      <x:c r="B16" s="3" t="s">
        <x:v>60</x:v>
      </x:c>
      <x:c r="C16" s="1"/>
      <x:c r="D16" s="1"/>
      <x:c r="E16" s="1"/>
      <x:c r="F16" s="1"/>
      <x:c r="G16" s="1"/>
      <x:c r="H16" s="1"/>
      <x:c r="I16" s="1"/>
      <x:c r="J16" s="1"/>
    </x:row>
    <x:row r="17">
      <x:c r="A17" s="1" t="s">
        <x:v>48</x:v>
      </x:c>
      <x:c r="B17" s="3">
        <x:v>0</x:v>
      </x:c>
      <x:c r="C17" s="1"/>
      <x:c r="D17" s="1"/>
      <x:c r="E17" s="1"/>
      <x:c r="F17" s="1"/>
      <x:c r="G17" s="1"/>
      <x:c r="H17" s="1"/>
      <x:c r="I17" s="1"/>
      <x:c r="J17" s="1"/>
    </x:row>
    <x:row r="18">
      <x:c r="A18" s="1" t="s">
        <x:v>50</x:v>
      </x:c>
      <x:c r="B18" s="3">
        <x:v>0</x:v>
      </x:c>
      <x:c r="C18" s="1"/>
      <x:c r="D18" s="1"/>
      <x:c r="E18" s="1"/>
      <x:c r="F18" s="1"/>
      <x:c r="G18" s="1"/>
      <x:c r="H18" s="1"/>
      <x:c r="I18" s="1"/>
      <x:c r="J18" s="1"/>
    </x:row>
    <x:row r="19">
      <x:c r="A19" s="1" t="s">
        <x:v>51</x:v>
      </x:c>
      <x:c r="B19" s="3">
        <x:v>0</x:v>
      </x:c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27" customWidth="1"/>
    <x:col min="2" max="2" width="22" customWidth="1"/>
    <x:col min="3" max="3" width="12" customWidth="1"/>
    <x:col min="4" max="4" width="28" customWidth="1"/>
    <x:col min="5" max="8" width="18" customWidth="1"/>
    <x:col min="9" max="9" width="20" customWidth="1"/>
    <x:col min="10" max="10" width="28" customWidth="1"/>
  </x:cols>
  <x:sheetData>
    <x:row r="1" ht="30" customHeight="1">
      <x:c r="A1" s="18" t="s">
        <x:v>61</x:v>
      </x:c>
      <x:c r="B1" s="18"/>
      <x:c r="C1" s="18"/>
      <x:c r="D1" s="18"/>
      <x:c r="E1" s="18"/>
      <x:c r="F1" s="18"/>
      <x:c r="G1" s="18"/>
      <x:c r="H1" s="18"/>
      <x:c r="I1" s="1"/>
      <x:c r="J1" s="1"/>
    </x:row>
    <x:row r="2" ht="30" customHeight="1">
      <x:c r="A2" s="19" t="s">
        <x:v>62</x:v>
      </x:c>
      <x:c r="B2" s="19"/>
      <x:c r="C2" s="19"/>
      <x:c r="D2" s="19"/>
      <x:c r="E2" s="19"/>
      <x:c r="F2" s="19"/>
      <x:c r="G2" s="19"/>
      <x:c r="H2" s="19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2" t="s">
        <x:v>30</x:v>
      </x:c>
      <x:c r="B4" s="2" t="s">
        <x:v>31</x:v>
      </x:c>
      <x:c r="C4" s="1"/>
      <x:c r="D4" s="2" t="s">
        <x:v>32</x:v>
      </x:c>
      <x:c r="E4" s="2" t="s">
        <x:v>33</x:v>
      </x:c>
      <x:c r="F4" s="1"/>
      <x:c r="G4" s="1"/>
      <x:c r="H4" s="1"/>
      <x:c r="I4" s="1"/>
      <x:c r="J4" s="1"/>
    </x:row>
    <x:row r="5">
      <x:c r="A5" s="1" t="s">
        <x:v>5</x:v>
      </x:c>
      <x:c r="B5" s="4" t="str">
        <x:f>'Job Setup'!B5</x:f>
        <x:v>Single storey</x:v>
      </x:c>
      <x:c r="C5" s="1"/>
      <x:c r="D5" s="1" t="s">
        <x:v>34</x:v>
      </x:c>
      <x:c r="E5" s="17" t="n">
        <x:f>IF(B13=0,0,Assumptions!$H$10+MAX(B13-1,0)*Assumptions!$H$11+IF(B14="New fan position",B13*0.35,0)+IF(B15="Yes",B13*Assumptions!$H$12,0)+B16*IF(B10="Yes",Assumptions!$B$13,Assumptions!$B$9)+B18)</x:f>
        <x:v>1.99</x:v>
      </x:c>
      <x:c r="F5" s="1"/>
      <x:c r="G5" s="1"/>
      <x:c r="H5" s="1"/>
      <x:c r="I5" s="1"/>
      <x:c r="J5" s="1"/>
    </x:row>
    <x:row r="6">
      <x:c r="A6" s="1" t="s">
        <x:v>8</x:v>
      </x:c>
      <x:c r="B6" s="4" t="str">
        <x:f>'Job Setup'!B6</x:f>
        <x:v>Newer / roof era</x:v>
      </x:c>
      <x:c r="C6" s="1"/>
      <x:c r="D6" s="1" t="s">
        <x:v>35</x:v>
      </x:c>
      <x:c r="E6" s="7" t="n">
        <x:f>B13*(10+B17)+IF(B15="Yes",B13*Settings!$E$12,0)+B16*Settings!$E$7+B19</x:f>
        <x:v>64</x:v>
      </x:c>
      <x:c r="F6" s="1"/>
      <x:c r="G6" s="1"/>
      <x:c r="H6" s="1"/>
      <x:c r="I6" s="1"/>
      <x:c r="J6" s="1"/>
    </x:row>
    <x:row r="7">
      <x:c r="A7" s="1" t="s">
        <x:v>11</x:v>
      </x:c>
      <x:c r="B7" s="4" t="str">
        <x:f>'Job Setup'!B7</x:f>
        <x:v>No access</x:v>
      </x:c>
      <x:c r="C7" s="1"/>
      <x:c r="D7" s="1" t="s">
        <x:v>36</x:v>
      </x:c>
      <x:c r="E7" s="7" t="n">
        <x:f>E5*Settings!$B$5+E6*(1+IF(E6&lt;=50,Settings!$K$5,IF(E6&lt;=200,Settings!$K$6,IF(E6&lt;=500,Settings!$K$7,IF(E6&lt;=1500,Settings!$K$8,IF(E6&lt;=3000,Settings!$K$9,Settings!$K$10))))))</x:f>
        <x:v>431.1</x:v>
      </x:c>
      <x:c r="F7" s="1"/>
      <x:c r="G7" s="1"/>
      <x:c r="H7" s="1"/>
      <x:c r="I7" s="1"/>
      <x:c r="J7" s="1"/>
    </x:row>
    <x:row r="8">
      <x:c r="A8" s="1" t="s">
        <x:v>14</x:v>
      </x:c>
      <x:c r="B8" s="4" t="str">
        <x:f>'Job Setup'!B8</x:f>
        <x:v>Concrete slab</x:v>
      </x:c>
      <x:c r="C8" s="1"/>
      <x:c r="D8" s="1" t="s">
        <x:v>37</x:v>
      </x:c>
      <x:c r="E8" s="7" t="n">
        <x:f>'Job Summary'!G15</x:f>
        <x:v>5520</x:v>
      </x:c>
      <x:c r="F8" s="1"/>
      <x:c r="G8" s="1"/>
      <x:c r="H8" s="1"/>
      <x:c r="I8" s="1"/>
      <x:c r="J8" s="1"/>
    </x:row>
    <x:row r="9">
      <x:c r="A9" s="1" t="s">
        <x:v>17</x:v>
      </x:c>
      <x:c r="B9" s="4" t="str">
        <x:f>'Job Setup'!B9</x:f>
        <x:v>Pitched metal</x:v>
      </x:c>
      <x:c r="C9" s="1"/>
      <x:c r="D9" s="1" t="s">
        <x:v>38</x:v>
      </x:c>
      <x:c r="E9" s="8" t="n">
        <x:f>E5*Settings!$B$5</x:f>
        <x:v>338.3</x:v>
      </x:c>
      <x:c r="F9" s="1"/>
      <x:c r="G9" s="1"/>
      <x:c r="H9" s="1"/>
      <x:c r="I9" s="1"/>
      <x:c r="J9" s="1"/>
    </x:row>
    <x:row r="10">
      <x:c r="A10" s="1" t="s">
        <x:v>20</x:v>
      </x:c>
      <x:c r="B10" s="4" t="str">
        <x:f>'Job Setup'!B10</x:f>
        <x:v>No</x:v>
      </x:c>
      <x:c r="C10" s="1"/>
      <x:c r="D10" s="1"/>
      <x:c r="E10" s="1"/>
      <x:c r="F10" s="1"/>
      <x:c r="G10" s="1"/>
      <x:c r="H10" s="1"/>
      <x:c r="I10" s="1"/>
      <x:c r="J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>
      <x:c r="A12" s="2" t="s">
        <x:v>63</x:v>
      </x:c>
      <x:c r="B12" s="2" t="s">
        <x:v>3</x:v>
      </x:c>
      <x:c r="C12" s="1"/>
      <x:c r="D12" s="1"/>
      <x:c r="E12" s="1"/>
      <x:c r="F12" s="1"/>
      <x:c r="G12" s="1"/>
      <x:c r="H12" s="1"/>
      <x:c r="I12" s="1"/>
      <x:c r="J12" s="1"/>
    </x:row>
    <x:row r="13">
      <x:c r="A13" s="1" t="s">
        <x:v>40</x:v>
      </x:c>
      <x:c r="B13" s="3">
        <x:v>2</x:v>
      </x:c>
      <x:c r="C13" s="1"/>
      <x:c r="D13" s="1"/>
      <x:c r="E13" s="1"/>
      <x:c r="F13" s="1"/>
      <x:c r="G13" s="1"/>
      <x:c r="H13" s="1"/>
      <x:c r="I13" s="1"/>
      <x:c r="J13" s="1"/>
    </x:row>
    <x:row r="14" ht="27">
      <x:c r="A14" s="1" t="s">
        <x:v>64</x:v>
      </x:c>
      <x:c r="B14" s="3" t="s">
        <x:v>65</x:v>
      </x:c>
      <x:c r="C14" s="1"/>
      <x:c r="D14" s="1"/>
      <x:c r="E14" s="1"/>
      <x:c r="F14" s="1"/>
      <x:c r="G14" s="1"/>
      <x:c r="H14" s="1"/>
      <x:c r="I14" s="1"/>
      <x:c r="J14" s="1"/>
    </x:row>
    <x:row r="15">
      <x:c r="A15" s="1" t="s">
        <x:v>66</x:v>
      </x:c>
      <x:c r="B15" s="3" t="s">
        <x:v>21</x:v>
      </x:c>
      <x:c r="C15" s="1"/>
      <x:c r="D15" s="1"/>
      <x:c r="E15" s="1"/>
      <x:c r="F15" s="1"/>
      <x:c r="G15" s="1"/>
      <x:c r="H15" s="1"/>
      <x:c r="I15" s="1"/>
      <x:c r="J15" s="1"/>
    </x:row>
    <x:row r="16">
      <x:c r="A16" s="1" t="s">
        <x:v>48</x:v>
      </x:c>
      <x:c r="B16" s="3">
        <x:v>20</x:v>
      </x:c>
      <x:c r="C16" s="1"/>
      <x:c r="D16" s="1"/>
      <x:c r="E16" s="1"/>
      <x:c r="F16" s="1"/>
      <x:c r="G16" s="1"/>
      <x:c r="H16" s="1"/>
      <x:c r="I16" s="1"/>
      <x:c r="J16" s="1"/>
    </x:row>
    <x:row r="17">
      <x:c r="A17" s="1" t="s">
        <x:v>67</x:v>
      </x:c>
      <x:c r="B17" s="3">
        <x:v>0</x:v>
      </x:c>
      <x:c r="C17" s="1"/>
      <x:c r="D17" s="1"/>
      <x:c r="E17" s="1"/>
      <x:c r="F17" s="1"/>
      <x:c r="G17" s="1"/>
      <x:c r="H17" s="1"/>
      <x:c r="I17" s="1"/>
      <x:c r="J17" s="1"/>
    </x:row>
    <x:row r="18">
      <x:c r="A18" s="1" t="s">
        <x:v>50</x:v>
      </x:c>
      <x:c r="B18" s="3">
        <x:v>0</x:v>
      </x:c>
      <x:c r="C18" s="1"/>
      <x:c r="D18" s="1"/>
      <x:c r="E18" s="1"/>
      <x:c r="F18" s="1"/>
      <x:c r="G18" s="1"/>
      <x:c r="H18" s="1"/>
      <x:c r="I18" s="1"/>
      <x:c r="J18" s="1"/>
    </x:row>
    <x:row r="19">
      <x:c r="A19" s="1" t="s">
        <x:v>51</x:v>
      </x:c>
      <x:c r="B19" s="3">
        <x:v>0</x:v>
      </x:c>
      <x:c r="C19" s="1"/>
      <x:c r="D19" s="1"/>
      <x:c r="E19" s="1"/>
      <x:c r="F19" s="1"/>
      <x:c r="G19" s="1"/>
      <x:c r="H19" s="1"/>
      <x:c r="I19" s="1"/>
      <x:c r="J19" s="1"/>
    </x:row>
    <x:row r="20">
      <x:c r="A20" s="1" t="s">
        <x:v>68</x:v>
      </x:c>
      <x:c r="B20" s="3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27" customWidth="1"/>
    <x:col min="2" max="2" width="22" customWidth="1"/>
    <x:col min="3" max="3" width="12" customWidth="1"/>
    <x:col min="4" max="4" width="28" customWidth="1"/>
    <x:col min="5" max="8" width="18" customWidth="1"/>
    <x:col min="9" max="9" width="20" customWidth="1"/>
    <x:col min="10" max="10" width="28" customWidth="1"/>
  </x:cols>
  <x:sheetData>
    <x:row r="1" ht="30" customHeight="1">
      <x:c r="A1" s="18" t="s">
        <x:v>69</x:v>
      </x:c>
      <x:c r="B1" s="18"/>
      <x:c r="C1" s="18"/>
      <x:c r="D1" s="18"/>
      <x:c r="E1" s="18"/>
      <x:c r="F1" s="18"/>
      <x:c r="G1" s="18"/>
      <x:c r="H1" s="18"/>
      <x:c r="I1" s="1"/>
      <x:c r="J1" s="1"/>
    </x:row>
    <x:row r="2" ht="30" customHeight="1">
      <x:c r="A2" s="19" t="s">
        <x:v>70</x:v>
      </x:c>
      <x:c r="B2" s="19"/>
      <x:c r="C2" s="19"/>
      <x:c r="D2" s="19"/>
      <x:c r="E2" s="19"/>
      <x:c r="F2" s="19"/>
      <x:c r="G2" s="19"/>
      <x:c r="H2" s="19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2" t="s">
        <x:v>30</x:v>
      </x:c>
      <x:c r="B4" s="2" t="s">
        <x:v>31</x:v>
      </x:c>
      <x:c r="C4" s="1"/>
      <x:c r="D4" s="2" t="s">
        <x:v>32</x:v>
      </x:c>
      <x:c r="E4" s="2" t="s">
        <x:v>33</x:v>
      </x:c>
      <x:c r="F4" s="1"/>
      <x:c r="G4" s="1"/>
      <x:c r="H4" s="1"/>
      <x:c r="I4" s="1"/>
      <x:c r="J4" s="1"/>
    </x:row>
    <x:row r="5">
      <x:c r="A5" s="1" t="s">
        <x:v>5</x:v>
      </x:c>
      <x:c r="B5" s="4" t="str">
        <x:f>'Job Setup'!B5</x:f>
        <x:v>Single storey</x:v>
      </x:c>
      <x:c r="C5" s="1"/>
      <x:c r="D5" s="1" t="s">
        <x:v>71</x:v>
      </x:c>
      <x:c r="E5" s="7" t="str">
        <x:f>IF(B17&lt;&gt;"AUTO",B17,IF(B10="Yes","OPEN FRAME",IF(B5="Two storey","CONDUIT",IF(AND(B6="Older / underfloor era",B7&lt;&gt;"No access",B8&lt;&gt;"Concrete slab"),"UNDERFLOOR",IF(B9="No practical roof access","CONDUIT","ROOF")))))</x:f>
        <x:v>CONDUIT</x:v>
      </x:c>
      <x:c r="F5" s="1"/>
      <x:c r="G5" s="1"/>
      <x:c r="H5" s="1"/>
      <x:c r="I5" s="1"/>
      <x:c r="J5" s="1"/>
    </x:row>
    <x:row r="6">
      <x:c r="A6" s="1" t="s">
        <x:v>8</x:v>
      </x:c>
      <x:c r="B6" s="4" t="str">
        <x:f>'Job Setup'!B6</x:f>
        <x:v>Newer / roof era</x:v>
      </x:c>
      <x:c r="C6" s="1"/>
      <x:c r="D6" s="1" t="s">
        <x:v>72</x:v>
      </x:c>
      <x:c r="E6" s="7" t="str">
        <x:f>IF(B15&lt;&gt;"AUTO",B15,IF(B14="1.5 mm²","10 A",IF(B14="2.5 mm²","16 A",IF(B14="4 mm²","20 A","32 A"))))</x:f>
        <x:v>32 A</x:v>
      </x:c>
      <x:c r="F6" s="1"/>
      <x:c r="G6" s="1"/>
      <x:c r="H6" s="1"/>
      <x:c r="I6" s="1"/>
      <x:c r="J6" s="1"/>
    </x:row>
    <x:row r="7">
      <x:c r="A7" s="1" t="s">
        <x:v>11</x:v>
      </x:c>
      <x:c r="B7" s="4" t="str">
        <x:f>'Job Setup'!B7</x:f>
        <x:v>No access</x:v>
      </x:c>
      <x:c r="C7" s="1"/>
      <x:c r="D7" s="1" t="s">
        <x:v>34</x:v>
      </x:c>
      <x:c r="E7" s="17" t="n">
        <x:f>IF(B13=0,0,Assumptions!$H$13+B13*IF(E5="OPEN FRAME",Assumptions!$B$13,IF(E5="UNDERFLOOR",Assumptions!$B$8,IF(E5="CONDUIT",Assumptions!$B$12,IF(B9="Flat metal",Assumptions!$B$11,IF(B9="Pitched metal",Assumptions!$B$10,Assumptions!$B$9)))))+IF(B16="Yes",0.5,0)+B18)</x:f>
        <x:v>3.675</x:v>
      </x:c>
      <x:c r="F7" s="1"/>
      <x:c r="G7" s="1"/>
      <x:c r="H7" s="1"/>
      <x:c r="I7" s="1"/>
      <x:c r="J7" s="1"/>
    </x:row>
    <x:row r="8">
      <x:c r="A8" s="1" t="s">
        <x:v>14</x:v>
      </x:c>
      <x:c r="B8" s="4" t="str">
        <x:f>'Job Setup'!B8</x:f>
        <x:v>Concrete slab</x:v>
      </x:c>
      <x:c r="C8" s="1"/>
      <x:c r="D8" s="1" t="s">
        <x:v>35</x:v>
      </x:c>
      <x:c r="E8" s="7" t="n">
        <x:f>IF(B13=0,0,B13*Settings!$E$7+IF(E5="CONDUIT",B13*Settings!$E$8,0)+IF(E6="10 A",Settings!$H$5,IF(E6="16 A",Settings!$H$6,IF(E6="20 A",Settings!$H$7,Settings!$H$8)))+Settings!$H$9+IF(B16="Yes",Settings!$H$10,0)+B19)</x:f>
        <x:v>272</x:v>
      </x:c>
      <x:c r="F8" s="1"/>
      <x:c r="G8" s="1"/>
      <x:c r="H8" s="1"/>
      <x:c r="I8" s="1"/>
      <x:c r="J8" s="1"/>
    </x:row>
    <x:row r="9">
      <x:c r="A9" s="1" t="s">
        <x:v>17</x:v>
      </x:c>
      <x:c r="B9" s="4" t="str">
        <x:f>'Job Setup'!B9</x:f>
        <x:v>Pitched metal</x:v>
      </x:c>
      <x:c r="C9" s="1"/>
      <x:c r="D9" s="1" t="s">
        <x:v>36</x:v>
      </x:c>
      <x:c r="E9" s="7" t="n">
        <x:f>E7*Settings!$B$5+E8*(1+IF(E8&lt;=50,Settings!$K$5,IF(E8&lt;=200,Settings!$K$6,IF(E8&lt;=500,Settings!$K$7,IF(E8&lt;=1500,Settings!$K$8,IF(E8&lt;=3000,Settings!$K$9,Settings!$K$10))))))</x:f>
        <x:v>991.95</x:v>
      </x:c>
      <x:c r="F9" s="1"/>
      <x:c r="G9" s="1"/>
      <x:c r="H9" s="1"/>
      <x:c r="I9" s="1"/>
      <x:c r="J9" s="1"/>
    </x:row>
    <x:row r="10">
      <x:c r="A10" s="1" t="s">
        <x:v>20</x:v>
      </x:c>
      <x:c r="B10" s="4" t="str">
        <x:f>'Job Setup'!B10</x:f>
        <x:v>No</x:v>
      </x:c>
      <x:c r="C10" s="1"/>
      <x:c r="D10" s="1" t="s">
        <x:v>38</x:v>
      </x:c>
      <x:c r="E10" s="8" t="n">
        <x:f>E7*Settings!$B$5</x:f>
        <x:v>624.75</x:v>
      </x:c>
      <x:c r="F10" s="1"/>
      <x:c r="G10" s="1"/>
      <x:c r="H10" s="1"/>
      <x:c r="I10" s="1"/>
      <x:c r="J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>
      <x:c r="A12" s="2" t="s">
        <x:v>73</x:v>
      </x:c>
      <x:c r="B12" s="2" t="s">
        <x:v>3</x:v>
      </x:c>
      <x:c r="C12" s="1"/>
      <x:c r="D12" s="1"/>
      <x:c r="E12" s="1"/>
      <x:c r="F12" s="1"/>
      <x:c r="G12" s="1"/>
      <x:c r="H12" s="1"/>
      <x:c r="I12" s="1"/>
      <x:c r="J12" s="1"/>
    </x:row>
    <x:row r="13">
      <x:c r="A13" s="1" t="s">
        <x:v>48</x:v>
      </x:c>
      <x:c r="B13" s="3">
        <x:v>35</x:v>
      </x:c>
      <x:c r="C13" s="1"/>
      <x:c r="D13" s="1"/>
      <x:c r="E13" s="1"/>
      <x:c r="F13" s="1"/>
      <x:c r="G13" s="1"/>
      <x:c r="H13" s="1"/>
      <x:c r="I13" s="1"/>
      <x:c r="J13" s="1"/>
    </x:row>
    <x:row r="14">
      <x:c r="A14" s="1" t="s">
        <x:v>74</x:v>
      </x:c>
      <x:c r="B14" s="3" t="s">
        <x:v>75</x:v>
      </x:c>
      <x:c r="C14" s="1"/>
      <x:c r="D14" s="1"/>
      <x:c r="E14" s="1"/>
      <x:c r="F14" s="1"/>
      <x:c r="G14" s="1"/>
      <x:c r="H14" s="1"/>
      <x:c r="I14" s="1"/>
      <x:c r="J14" s="1"/>
    </x:row>
    <x:row r="15">
      <x:c r="A15" s="1" t="s">
        <x:v>76</x:v>
      </x:c>
      <x:c r="B15" s="3" t="s">
        <x:v>77</x:v>
      </x:c>
      <x:c r="C15" s="1"/>
      <x:c r="D15" s="1"/>
      <x:c r="E15" s="1"/>
      <x:c r="F15" s="1"/>
      <x:c r="G15" s="1"/>
      <x:c r="H15" s="1"/>
      <x:c r="I15" s="1"/>
      <x:c r="J15" s="1"/>
    </x:row>
    <x:row r="16">
      <x:c r="A16" s="1" t="s">
        <x:v>78</x:v>
      </x:c>
      <x:c r="B16" s="3" t="s">
        <x:v>79</x:v>
      </x:c>
      <x:c r="C16" s="1"/>
      <x:c r="D16" s="1"/>
      <x:c r="E16" s="1"/>
      <x:c r="F16" s="1"/>
      <x:c r="G16" s="1"/>
      <x:c r="H16" s="1"/>
      <x:c r="I16" s="1"/>
      <x:c r="J16" s="1"/>
    </x:row>
    <x:row r="17">
      <x:c r="A17" s="1" t="s">
        <x:v>80</x:v>
      </x:c>
      <x:c r="B17" s="3" t="s">
        <x:v>81</x:v>
      </x:c>
      <x:c r="C17" s="1"/>
      <x:c r="D17" s="1"/>
      <x:c r="E17" s="1"/>
      <x:c r="F17" s="1"/>
      <x:c r="G17" s="1"/>
      <x:c r="H17" s="1"/>
      <x:c r="I17" s="1"/>
      <x:c r="J17" s="1"/>
    </x:row>
    <x:row r="18">
      <x:c r="A18" s="1" t="s">
        <x:v>50</x:v>
      </x:c>
      <x:c r="B18" s="3">
        <x:v>0</x:v>
      </x:c>
      <x:c r="C18" s="1"/>
      <x:c r="D18" s="1"/>
      <x:c r="E18" s="1"/>
      <x:c r="F18" s="1"/>
      <x:c r="G18" s="1"/>
      <x:c r="H18" s="1"/>
      <x:c r="I18" s="1"/>
      <x:c r="J18" s="1"/>
    </x:row>
    <x:row r="19">
      <x:c r="A19" s="1" t="s">
        <x:v>51</x:v>
      </x:c>
      <x:c r="B19" s="3">
        <x:v>0</x:v>
      </x:c>
      <x:c r="C19" s="1"/>
      <x:c r="D19" s="1"/>
      <x:c r="E19" s="1"/>
      <x:c r="F19" s="1"/>
      <x:c r="G19" s="1"/>
      <x:c r="H19" s="1"/>
      <x:c r="I19" s="1"/>
      <x:c r="J19" s="1"/>
    </x:row>
    <x:row r="20">
      <x:c r="A20" s="1" t="s">
        <x:v>68</x:v>
      </x:c>
      <x:c r="B20" s="3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27" customWidth="1"/>
    <x:col min="2" max="2" width="22" customWidth="1"/>
    <x:col min="3" max="3" width="12" customWidth="1"/>
    <x:col min="4" max="4" width="28" customWidth="1"/>
    <x:col min="5" max="8" width="18" customWidth="1"/>
    <x:col min="9" max="9" width="20" customWidth="1"/>
    <x:col min="10" max="10" width="28" customWidth="1"/>
  </x:cols>
  <x:sheetData>
    <x:row r="1" ht="30" customHeight="1">
      <x:c r="A1" s="18" t="s">
        <x:v>82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30" customHeight="1">
      <x:c r="A2" s="19" t="s">
        <x:v>83</x:v>
      </x:c>
      <x:c r="B2" s="19"/>
      <x:c r="C2" s="19"/>
      <x:c r="D2" s="19"/>
      <x:c r="E2" s="19"/>
      <x:c r="F2" s="19"/>
      <x:c r="G2" s="19"/>
      <x:c r="H2" s="19"/>
      <x:c r="I2" s="19"/>
      <x:c r="J2" s="19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2" t="s">
        <x:v>84</x:v>
      </x:c>
      <x:c r="B4" s="2" t="s">
        <x:v>85</x:v>
      </x:c>
      <x:c r="C4" s="2" t="s">
        <x:v>86</x:v>
      </x:c>
      <x:c r="D4" s="2" t="s">
        <x:v>87</x:v>
      </x:c>
      <x:c r="E4" s="2" t="s">
        <x:v>88</x:v>
      </x:c>
      <x:c r="F4" s="2" t="s">
        <x:v>89</x:v>
      </x:c>
      <x:c r="G4" s="2" t="s">
        <x:v>90</x:v>
      </x:c>
      <x:c r="H4" s="2" t="s">
        <x:v>91</x:v>
      </x:c>
      <x:c r="I4" s="2" t="s">
        <x:v>92</x:v>
      </x:c>
      <x:c r="J4" s="2" t="s">
        <x:v>93</x:v>
      </x:c>
    </x:row>
    <x:row r="5">
      <x:c r="A5" s="3" t="s">
        <x:v>94</x:v>
      </x:c>
      <x:c r="B5" s="3" t="s">
        <x:v>95</x:v>
      </x:c>
      <x:c r="C5" s="3">
        <x:v>0</x:v>
      </x:c>
      <x:c r="D5" s="3" t="s">
        <x:v>96</x:v>
      </x:c>
      <x:c r="E5" s="10">
        <x:v>0</x:v>
      </x:c>
      <x:c r="F5" s="3">
        <x:v>0</x:v>
      </x:c>
      <x:c r="G5" s="7" t="n">
        <x:f t="shared" ref="G5:G14" si="0">C5*E5</x:f>
        <x:v>0</x:v>
      </x:c>
      <x:c r="H5" s="5" t="n">
        <x:f t="shared" ref="H5:H14" si="1">C5*F5</x:f>
        <x:v>0</x:v>
      </x:c>
      <x:c r="I5" s="7" t="n">
        <x:f>G5*(1+IF(G5&lt;=50,Settings!$K$5,IF(G5&lt;=200,Settings!$K$6,IF(G5&lt;=500,Settings!$K$7,IF(G5&lt;=1500,Settings!$K$8,IF(G5&lt;=3000,Settings!$K$9,Settings!$K$10))))))+H5*Settings!$B$5</x:f>
        <x:v>0</x:v>
      </x:c>
      <x:c r="J5" s="1"/>
    </x:row>
    <x:row r="6">
      <x:c r="A6" s="3" t="s">
        <x:v>97</x:v>
      </x:c>
      <x:c r="B6" s="3" t="s">
        <x:v>97</x:v>
      </x:c>
      <x:c r="C6" s="3">
        <x:v>0</x:v>
      </x:c>
      <x:c r="D6" s="3" t="s">
        <x:v>98</x:v>
      </x:c>
      <x:c r="E6" s="10">
        <x:v>0</x:v>
      </x:c>
      <x:c r="F6" s="3">
        <x:v>0</x:v>
      </x:c>
      <x:c r="G6" s="7">
        <x:f t="shared" si="0"/>
        <x:v>0</x:v>
      </x:c>
      <x:c r="H6" s="5">
        <x:f t="shared" si="1"/>
        <x:v>0</x:v>
      </x:c>
      <x:c r="I6" s="7" t="n">
        <x:f>G6*(1+IF(G6&lt;=50,Settings!$K$5,IF(G6&lt;=200,Settings!$K$6,IF(G6&lt;=500,Settings!$K$7,IF(G6&lt;=1500,Settings!$K$8,IF(G6&lt;=3000,Settings!$K$9,Settings!$K$10))))))+H6*Settings!$B$5</x:f>
        <x:v>0</x:v>
      </x:c>
      <x:c r="J6" s="1"/>
    </x:row>
    <x:row r="7">
      <x:c r="A7" s="3" t="s">
        <x:v>99</x:v>
      </x:c>
      <x:c r="B7" s="3" t="s">
        <x:v>100</x:v>
      </x:c>
      <x:c r="C7" s="3">
        <x:v>0</x:v>
      </x:c>
      <x:c r="D7" s="3" t="s">
        <x:v>98</x:v>
      </x:c>
      <x:c r="E7" s="10">
        <x:v>0</x:v>
      </x:c>
      <x:c r="F7" s="3">
        <x:v>0</x:v>
      </x:c>
      <x:c r="G7" s="7">
        <x:f t="shared" si="0"/>
        <x:v>0</x:v>
      </x:c>
      <x:c r="H7" s="5">
        <x:f t="shared" si="1"/>
        <x:v>0</x:v>
      </x:c>
      <x:c r="I7" s="7" t="n">
        <x:f>G7*(1+IF(G7&lt;=50,Settings!$K$5,IF(G7&lt;=200,Settings!$K$6,IF(G7&lt;=500,Settings!$K$7,IF(G7&lt;=1500,Settings!$K$8,IF(G7&lt;=3000,Settings!$K$9,Settings!$K$10))))))+H7*Settings!$B$5</x:f>
        <x:v>0</x:v>
      </x:c>
      <x:c r="J7" s="1"/>
    </x:row>
    <x:row r="8">
      <x:c r="A8" s="3" t="s">
        <x:v>101</x:v>
      </x:c>
      <x:c r="B8" s="3" t="s">
        <x:v>102</x:v>
      </x:c>
      <x:c r="C8" s="3">
        <x:v>0</x:v>
      </x:c>
      <x:c r="D8" s="3" t="s">
        <x:v>96</x:v>
      </x:c>
      <x:c r="E8" s="10">
        <x:v>0</x:v>
      </x:c>
      <x:c r="F8" s="3">
        <x:v>0</x:v>
      </x:c>
      <x:c r="G8" s="7">
        <x:f t="shared" si="0"/>
        <x:v>0</x:v>
      </x:c>
      <x:c r="H8" s="5">
        <x:f t="shared" si="1"/>
        <x:v>0</x:v>
      </x:c>
      <x:c r="I8" s="7" t="n">
        <x:f>G8*(1+IF(G8&lt;=50,Settings!$K$5,IF(G8&lt;=200,Settings!$K$6,IF(G8&lt;=500,Settings!$K$7,IF(G8&lt;=1500,Settings!$K$8,IF(G8&lt;=3000,Settings!$K$9,Settings!$K$10))))))+H8*Settings!$B$5</x:f>
        <x:v>0</x:v>
      </x:c>
      <x:c r="J8" s="1"/>
    </x:row>
    <x:row r="9">
      <x:c r="A9" s="3" t="s">
        <x:v>103</x:v>
      </x:c>
      <x:c r="B9" s="3" t="s">
        <x:v>104</x:v>
      </x:c>
      <x:c r="C9" s="3">
        <x:v>0</x:v>
      </x:c>
      <x:c r="D9" s="3" t="s">
        <x:v>105</x:v>
      </x:c>
      <x:c r="E9" s="10">
        <x:v>0</x:v>
      </x:c>
      <x:c r="F9" s="3">
        <x:v>0</x:v>
      </x:c>
      <x:c r="G9" s="7">
        <x:f t="shared" si="0"/>
        <x:v>0</x:v>
      </x:c>
      <x:c r="H9" s="5">
        <x:f t="shared" si="1"/>
        <x:v>0</x:v>
      </x:c>
      <x:c r="I9" s="7" t="n">
        <x:f>G9*(1+IF(G9&lt;=50,Settings!$K$5,IF(G9&lt;=200,Settings!$K$6,IF(G9&lt;=500,Settings!$K$7,IF(G9&lt;=1500,Settings!$K$8,IF(G9&lt;=3000,Settings!$K$9,Settings!$K$10))))))+H9*Settings!$B$5</x:f>
        <x:v>0</x:v>
      </x:c>
      <x:c r="J9" s="1"/>
    </x:row>
    <x:row r="10">
      <x:c r="A10" s="3" t="s">
        <x:v>106</x:v>
      </x:c>
      <x:c r="B10" s="3" t="s">
        <x:v>107</x:v>
      </x:c>
      <x:c r="C10" s="3">
        <x:v>0</x:v>
      </x:c>
      <x:c r="D10" s="3" t="s">
        <x:v>108</x:v>
      </x:c>
      <x:c r="E10" s="10">
        <x:v>0</x:v>
      </x:c>
      <x:c r="F10" s="3">
        <x:v>1</x:v>
      </x:c>
      <x:c r="G10" s="7">
        <x:f t="shared" si="0"/>
        <x:v>0</x:v>
      </x:c>
      <x:c r="H10" s="5">
        <x:f t="shared" si="1"/>
        <x:v>0</x:v>
      </x:c>
      <x:c r="I10" s="7" t="n">
        <x:f>G10*(1+IF(G10&lt;=50,Settings!$K$5,IF(G10&lt;=200,Settings!$K$6,IF(G10&lt;=500,Settings!$K$7,IF(G10&lt;=1500,Settings!$K$8,IF(G10&lt;=3000,Settings!$K$9,Settings!$K$10))))))+H10*Settings!$B$5</x:f>
        <x:v>0</x:v>
      </x:c>
      <x:c r="J10" s="1"/>
    </x:row>
    <x:row r="11">
      <x:c r="A11" s="3" t="s">
        <x:v>109</x:v>
      </x:c>
      <x:c r="B11" s="3" t="s">
        <x:v>110</x:v>
      </x:c>
      <x:c r="C11" s="3">
        <x:v>0</x:v>
      </x:c>
      <x:c r="D11" s="3" t="s">
        <x:v>96</x:v>
      </x:c>
      <x:c r="E11" s="10">
        <x:v>0</x:v>
      </x:c>
      <x:c r="F11" s="3">
        <x:v>0</x:v>
      </x:c>
      <x:c r="G11" s="7">
        <x:f t="shared" si="0"/>
        <x:v>0</x:v>
      </x:c>
      <x:c r="H11" s="5">
        <x:f t="shared" si="1"/>
        <x:v>0</x:v>
      </x:c>
      <x:c r="I11" s="7" t="n">
        <x:f>G11*(1+IF(G11&lt;=50,Settings!$K$5,IF(G11&lt;=200,Settings!$K$6,IF(G11&lt;=500,Settings!$K$7,IF(G11&lt;=1500,Settings!$K$8,IF(G11&lt;=3000,Settings!$K$9,Settings!$K$10))))))+H11*Settings!$B$5</x:f>
        <x:v>0</x:v>
      </x:c>
      <x:c r="J11" s="1"/>
    </x:row>
    <x:row r="12">
      <x:c r="A12" s="3" t="s">
        <x:v>111</x:v>
      </x:c>
      <x:c r="B12" s="3" t="s">
        <x:v>110</x:v>
      </x:c>
      <x:c r="C12" s="3">
        <x:v>0</x:v>
      </x:c>
      <x:c r="D12" s="3" t="s">
        <x:v>96</x:v>
      </x:c>
      <x:c r="E12" s="10">
        <x:v>0</x:v>
      </x:c>
      <x:c r="F12" s="3">
        <x:v>0</x:v>
      </x:c>
      <x:c r="G12" s="7">
        <x:f t="shared" si="0"/>
        <x:v>0</x:v>
      </x:c>
      <x:c r="H12" s="5">
        <x:f t="shared" si="1"/>
        <x:v>0</x:v>
      </x:c>
      <x:c r="I12" s="7" t="n">
        <x:f>G12*(1+IF(G12&lt;=50,Settings!$K$5,IF(G12&lt;=200,Settings!$K$6,IF(G12&lt;=500,Settings!$K$7,IF(G12&lt;=1500,Settings!$K$8,IF(G12&lt;=3000,Settings!$K$9,Settings!$K$10))))))+H12*Settings!$B$5</x:f>
        <x:v>0</x:v>
      </x:c>
      <x:c r="J12" s="1"/>
    </x:row>
    <x:row r="13">
      <x:c r="A13" s="3" t="s">
        <x:v>112</x:v>
      </x:c>
      <x:c r="B13" s="3" t="s">
        <x:v>110</x:v>
      </x:c>
      <x:c r="C13" s="3">
        <x:v>0</x:v>
      </x:c>
      <x:c r="D13" s="3" t="s">
        <x:v>96</x:v>
      </x:c>
      <x:c r="E13" s="10">
        <x:v>0</x:v>
      </x:c>
      <x:c r="F13" s="3">
        <x:v>0</x:v>
      </x:c>
      <x:c r="G13" s="7">
        <x:f t="shared" si="0"/>
        <x:v>0</x:v>
      </x:c>
      <x:c r="H13" s="5">
        <x:f t="shared" si="1"/>
        <x:v>0</x:v>
      </x:c>
      <x:c r="I13" s="7" t="n">
        <x:f>G13*(1+IF(G13&lt;=50,Settings!$K$5,IF(G13&lt;=200,Settings!$K$6,IF(G13&lt;=500,Settings!$K$7,IF(G13&lt;=1500,Settings!$K$8,IF(G13&lt;=3000,Settings!$K$9,Settings!$K$10))))))+H13*Settings!$B$5</x:f>
        <x:v>0</x:v>
      </x:c>
      <x:c r="J13" s="1"/>
    </x:row>
    <x:row r="14">
      <x:c r="A14" s="3" t="s">
        <x:v>113</x:v>
      </x:c>
      <x:c r="B14" s="3" t="s">
        <x:v>110</x:v>
      </x:c>
      <x:c r="C14" s="3">
        <x:v>0</x:v>
      </x:c>
      <x:c r="D14" s="3" t="s">
        <x:v>96</x:v>
      </x:c>
      <x:c r="E14" s="10">
        <x:v>0</x:v>
      </x:c>
      <x:c r="F14" s="3">
        <x:v>0</x:v>
      </x:c>
      <x:c r="G14" s="7">
        <x:f t="shared" si="0"/>
        <x:v>0</x:v>
      </x:c>
      <x:c r="H14" s="5">
        <x:f t="shared" si="1"/>
        <x:v>0</x:v>
      </x:c>
      <x:c r="I14" s="7" t="n">
        <x:f>G14*(1+IF(G14&lt;=50,Settings!$K$5,IF(G14&lt;=200,Settings!$K$6,IF(G14&lt;=500,Settings!$K$7,IF(G14&lt;=1500,Settings!$K$8,IF(G14&lt;=3000,Settings!$K$9,Settings!$K$10))))))+H14*Settings!$B$5</x:f>
        <x:v>0</x:v>
      </x:c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2" t="s">
        <x:v>114</x:v>
      </x:c>
      <x:c r="B16" s="2" t="s">
        <x:v>115</x:v>
      </x:c>
      <x:c r="C16" s="1"/>
      <x:c r="D16" s="2" t="s">
        <x:v>32</x:v>
      </x:c>
      <x:c r="E16" s="2" t="s">
        <x:v>33</x:v>
      </x:c>
      <x:c r="F16" s="1"/>
      <x:c r="G16" s="1"/>
      <x:c r="H16" s="1"/>
      <x:c r="I16" s="1"/>
      <x:c r="J16" s="1"/>
    </x:row>
    <x:row r="17">
      <x:c r="A17" s="1" t="s">
        <x:v>116</x:v>
      </x:c>
      <x:c r="B17" s="5" t="n">
        <x:f>SUM(H5:H14)</x:f>
        <x:v>0</x:v>
      </x:c>
      <x:c r="C17" s="1"/>
      <x:c r="D17" s="1" t="s">
        <x:v>36</x:v>
      </x:c>
      <x:c r="E17" s="5" t="n">
        <x:f>SUM(I5:I14)</x:f>
        <x:v>0</x:v>
      </x:c>
      <x:c r="F17" s="1"/>
      <x:c r="G17" s="1"/>
      <x:c r="H17" s="1"/>
      <x:c r="I17" s="1"/>
      <x:c r="J17" s="1"/>
    </x:row>
    <x:row r="18">
      <x:c r="A18" s="1" t="s">
        <x:v>35</x:v>
      </x:c>
      <x:c r="B18" s="5" t="n">
        <x:f>SUM(G5:G14)</x:f>
        <x:v>0</x:v>
      </x:c>
      <x:c r="C18" s="1"/>
      <x:c r="D18" s="1" t="s">
        <x:v>37</x:v>
      </x:c>
      <x:c r="E18" s="5" t="n">
        <x:f>'Job Summary'!G15</x:f>
        <x:v>5520</x:v>
      </x:c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27" customWidth="1"/>
    <x:col min="2" max="2" width="22" customWidth="1"/>
    <x:col min="3" max="3" width="12" customWidth="1"/>
    <x:col min="4" max="4" width="28" customWidth="1"/>
    <x:col min="5" max="8" width="18" customWidth="1"/>
    <x:col min="9" max="9" width="20" customWidth="1"/>
    <x:col min="10" max="10" width="28" customWidth="1"/>
  </x:cols>
  <x:sheetData>
    <x:row r="1" ht="30" customHeight="1">
      <x:c r="A1" s="18" t="s">
        <x:v>117</x:v>
      </x:c>
      <x:c r="B1" s="18"/>
      <x:c r="C1" s="18"/>
      <x:c r="D1" s="18"/>
      <x:c r="E1" s="18"/>
      <x:c r="F1" s="18"/>
      <x:c r="G1" s="18"/>
      <x:c r="H1" s="18"/>
      <x:c r="I1" s="1"/>
      <x:c r="J1" s="1"/>
    </x:row>
    <x:row r="2" ht="30" customHeight="1">
      <x:c r="A2" s="19" t="s">
        <x:v>118</x:v>
      </x:c>
      <x:c r="B2" s="19"/>
      <x:c r="C2" s="19"/>
      <x:c r="D2" s="19"/>
      <x:c r="E2" s="19"/>
      <x:c r="F2" s="19"/>
      <x:c r="G2" s="19"/>
      <x:c r="H2" s="19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7">
      <x:c r="A4" s="2" t="s">
        <x:v>119</x:v>
      </x:c>
      <x:c r="B4" s="2" t="s">
        <x:v>91</x:v>
      </x:c>
      <x:c r="C4" s="2" t="s">
        <x:v>120</x:v>
      </x:c>
      <x:c r="D4" s="2" t="s">
        <x:v>121</x:v>
      </x:c>
      <x:c r="E4" s="1"/>
      <x:c r="F4" s="2" t="s">
        <x:v>122</x:v>
      </x:c>
      <x:c r="G4" s="2" t="s">
        <x:v>33</x:v>
      </x:c>
      <x:c r="H4" s="1"/>
      <x:c r="I4" s="1"/>
      <x:c r="J4" s="1"/>
    </x:row>
    <x:row r="5">
      <x:c r="A5" s="1" t="s">
        <x:v>123</x:v>
      </x:c>
      <x:c r="B5" s="5" t="n">
        <x:f>GPO!E5</x:f>
        <x:v>3.5</x:v>
      </x:c>
      <x:c r="C5" s="5" t="n">
        <x:f>GPO!E6</x:f>
        <x:v>180</x:v>
      </x:c>
      <x:c r="D5" s="5" t="n">
        <x:f>GPO!E7</x:f>
        <x:v>856</x:v>
      </x:c>
      <x:c r="E5" s="1"/>
      <x:c r="F5" s="1" t="s">
        <x:v>124</x:v>
      </x:c>
      <x:c r="G5" s="5" t="n">
        <x:f>SUM(B5:B9)</x:f>
        <x:v>18.015</x:v>
      </x:c>
      <x:c r="H5" s="1"/>
      <x:c r="I5" s="1"/>
      <x:c r="J5" s="1"/>
    </x:row>
    <x:row r="6" ht="27">
      <x:c r="A6" s="1" t="s">
        <x:v>125</x:v>
      </x:c>
      <x:c r="B6" s="5" t="n">
        <x:f>'Light Install'!E5</x:f>
        <x:v>8.85</x:v>
      </x:c>
      <x:c r="C6" s="5" t="n">
        <x:f>'Light Install'!E6</x:f>
        <x:v>330</x:v>
      </x:c>
      <x:c r="D6" s="5" t="n">
        <x:f>'Light Install'!E7</x:f>
        <x:v>1950</x:v>
      </x:c>
      <x:c r="E6" s="1"/>
      <x:c r="F6" s="1" t="s">
        <x:v>126</x:v>
      </x:c>
      <x:c r="G6" s="5" t="n">
        <x:f>Assumptions!$B$5</x:f>
        <x:v>1.4</x:v>
      </x:c>
      <x:c r="H6" s="1"/>
      <x:c r="I6" s="1"/>
      <x:c r="J6" s="1"/>
    </x:row>
    <x:row r="7">
      <x:c r="A7" s="1" t="s">
        <x:v>127</x:v>
      </x:c>
      <x:c r="B7" s="5" t="n">
        <x:f>'Ceiling Fan'!E5</x:f>
        <x:v>1.99</x:v>
      </x:c>
      <x:c r="C7" s="5" t="n">
        <x:f>'Ceiling Fan'!E6</x:f>
        <x:v>64</x:v>
      </x:c>
      <x:c r="D7" s="5" t="n">
        <x:f>'Ceiling Fan'!E7</x:f>
        <x:v>431.1</x:v>
      </x:c>
      <x:c r="E7" s="1"/>
      <x:c r="F7" s="1" t="s">
        <x:v>128</x:v>
      </x:c>
      <x:c r="G7" s="5" t="n">
        <x:f>'Job Setup'!B13</x:f>
        <x:v>0</x:v>
      </x:c>
      <x:c r="H7" s="1"/>
      <x:c r="I7" s="1"/>
      <x:c r="J7" s="1"/>
    </x:row>
    <x:row r="8">
      <x:c r="A8" s="1" t="s">
        <x:v>129</x:v>
      </x:c>
      <x:c r="B8" s="5" t="n">
        <x:f>'New Circuit'!E7</x:f>
        <x:v>3.675</x:v>
      </x:c>
      <x:c r="C8" s="5" t="n">
        <x:f>'New Circuit'!E8</x:f>
        <x:v>272</x:v>
      </x:c>
      <x:c r="D8" s="5" t="n">
        <x:f>'New Circuit'!E9</x:f>
        <x:v>991.95</x:v>
      </x:c>
      <x:c r="E8" s="1"/>
      <x:c r="F8" s="1" t="s">
        <x:v>130</x:v>
      </x:c>
      <x:c r="G8" s="17" t="n">
        <x:f>SUM(G5:G7)</x:f>
        <x:v>19.415</x:v>
      </x:c>
      <x:c r="H8" s="1"/>
      <x:c r="I8" s="1"/>
      <x:c r="J8" s="1"/>
    </x:row>
    <x:row r="9">
      <x:c r="A9" s="1" t="s">
        <x:v>131</x:v>
      </x:c>
      <x:c r="B9" s="5" t="n">
        <x:f>'Custom Job'!B17</x:f>
        <x:v>0</x:v>
      </x:c>
      <x:c r="C9" s="5" t="n">
        <x:f>'Custom Job'!B18</x:f>
        <x:v>0</x:v>
      </x:c>
      <x:c r="D9" s="5" t="n">
        <x:f>'Custom Job'!E17</x:f>
        <x:v>0</x:v>
      </x:c>
      <x:c r="E9" s="1"/>
      <x:c r="F9" s="1" t="s">
        <x:v>132</x:v>
      </x:c>
      <x:c r="G9" s="7" t="n">
        <x:f>SUM(C5:C9)+'Job Setup'!B14</x:f>
        <x:v>846</x:v>
      </x:c>
      <x:c r="H9" s="1"/>
      <x:c r="I9" s="1"/>
      <x:c r="J9" s="1"/>
    </x:row>
    <x:row r="10">
      <x:c r="A10" s="1"/>
      <x:c r="B10" s="1"/>
      <x:c r="C10" s="1"/>
      <x:c r="D10" s="1"/>
      <x:c r="E10" s="1"/>
      <x:c r="F10" s="1" t="s">
        <x:v>38</x:v>
      </x:c>
      <x:c r="G10" s="7" t="n">
        <x:f>G8*Settings!$B$5</x:f>
        <x:v>3300.5499999999997</x:v>
      </x:c>
      <x:c r="H10" s="1"/>
      <x:c r="I10" s="1"/>
      <x:c r="J10" s="1"/>
    </x:row>
    <x:row r="11" ht="27">
      <x:c r="A11" s="1"/>
      <x:c r="B11" s="1"/>
      <x:c r="C11" s="1"/>
      <x:c r="D11" s="1"/>
      <x:c r="E11" s="1"/>
      <x:c r="F11" s="1" t="s">
        <x:v>133</x:v>
      </x:c>
      <x:c r="G11" s="7" t="n">
        <x:f>G9*(1+IF(G9&lt;=50,Settings!$K$5,IF(G9&lt;=200,Settings!$K$6,IF(G9&lt;=500,Settings!$K$7,IF(G9&lt;=1500,Settings!$K$8,IF(G9&lt;=3000,Settings!$K$9,Settings!$K$10))))))</x:f>
        <x:v>1057.5</x:v>
      </x:c>
      <x:c r="H11" s="1"/>
      <x:c r="I11" s="1"/>
      <x:c r="J11" s="1"/>
    </x:row>
    <x:row r="12">
      <x:c r="A12" s="1"/>
      <x:c r="B12" s="1"/>
      <x:c r="C12" s="1"/>
      <x:c r="D12" s="1"/>
      <x:c r="E12" s="1"/>
      <x:c r="F12" s="1" t="s">
        <x:v>134</x:v>
      </x:c>
      <x:c r="G12" s="7" t="n">
        <x:f>IF('Job Setup'!B15&gt;0,'Job Setup'!B15,Settings!$B$12)</x:f>
        <x:v>0</x:v>
      </x:c>
      <x:c r="H12" s="1"/>
      <x:c r="I12" s="1"/>
      <x:c r="J12" s="1"/>
    </x:row>
    <x:row r="13" ht="27">
      <x:c r="A13" s="1"/>
      <x:c r="B13" s="1"/>
      <x:c r="C13" s="1"/>
      <x:c r="D13" s="1"/>
      <x:c r="E13" s="1"/>
      <x:c r="F13" s="1" t="s">
        <x:v>135</x:v>
      </x:c>
      <x:c r="G13" s="7" t="n">
        <x:f>MAX(Settings!$B$11,(G10+G11+G12)*(1+Settings!$B$8+Settings!$B$9))</x:f>
        <x:v>5011.7575</x:v>
      </x:c>
      <x:c r="H13" s="1"/>
      <x:c r="I13" s="1"/>
      <x:c r="J13" s="1"/>
    </x:row>
    <x:row r="14">
      <x:c r="A14" s="1"/>
      <x:c r="B14" s="1"/>
      <x:c r="C14" s="1"/>
      <x:c r="D14" s="1"/>
      <x:c r="E14" s="1"/>
      <x:c r="F14" s="1" t="s">
        <x:v>136</x:v>
      </x:c>
      <x:c r="G14" s="7" t="n">
        <x:f>G13*Settings!$B$10</x:f>
        <x:v>501.17575</x:v>
      </x:c>
      <x:c r="H14" s="1"/>
      <x:c r="I14" s="1"/>
      <x:c r="J14" s="1"/>
    </x:row>
    <x:row r="15" ht="27">
      <x:c r="A15" s="1"/>
      <x:c r="B15" s="1"/>
      <x:c r="C15" s="1"/>
      <x:c r="D15" s="1"/>
      <x:c r="E15" s="1"/>
      <x:c r="F15" s="6" t="s">
        <x:v>137</x:v>
      </x:c>
      <x:c r="G15" s="9" t="n">
        <x:f>CEILING(G13+G14,Settings!$B$13)</x:f>
        <x:v>5520</x:v>
      </x:c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27" customWidth="1"/>
    <x:col min="2" max="2" width="22" customWidth="1"/>
    <x:col min="3" max="3" width="12" customWidth="1"/>
    <x:col min="4" max="4" width="28" customWidth="1"/>
    <x:col min="5" max="8" width="18" customWidth="1"/>
    <x:col min="9" max="9" width="20" customWidth="1"/>
    <x:col min="10" max="10" width="24" customWidth="1"/>
    <x:col min="11" max="11" width="18" customWidth="1"/>
  </x:cols>
  <x:sheetData>
    <x:row r="1" ht="30" customHeight="1">
      <x:c r="A1" s="18" t="s">
        <x:v>138</x:v>
      </x:c>
      <x:c r="B1" s="18"/>
      <x:c r="C1" s="18"/>
      <x:c r="D1" s="18"/>
      <x:c r="E1" s="18"/>
      <x:c r="F1" s="18"/>
      <x:c r="G1" s="18"/>
      <x:c r="H1" s="18"/>
      <x:c r="I1" s="1"/>
      <x:c r="J1" s="1"/>
    </x:row>
    <x:row r="2" ht="30" customHeight="1">
      <x:c r="A2" s="19" t="s">
        <x:v>139</x:v>
      </x:c>
      <x:c r="B2" s="19"/>
      <x:c r="C2" s="19"/>
      <x:c r="D2" s="19"/>
      <x:c r="E2" s="19"/>
      <x:c r="F2" s="19"/>
      <x:c r="G2" s="19"/>
      <x:c r="H2" s="19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15">
      <x:c r="A4" s="2" t="s">
        <x:v>140</x:v>
      </x:c>
      <x:c r="B4" s="2" t="s">
        <x:v>115</x:v>
      </x:c>
      <x:c r="C4" s="2"/>
      <x:c r="D4" s="2" t="s">
        <x:v>141</x:v>
      </x:c>
      <x:c r="E4" s="2" t="s">
        <x:v>142</x:v>
      </x:c>
      <x:c r="F4" s="2"/>
      <x:c r="G4" s="2" t="s">
        <x:v>143</x:v>
      </x:c>
      <x:c r="H4" s="2" t="s">
        <x:v>142</x:v>
      </x:c>
      <x:c r="I4" s="1"/>
      <x:c r="J4" s="11" t="s">
        <x:v>144</x:v>
      </x:c>
      <x:c r="K4" s="12" t="s">
        <x:v>115</x:v>
      </x:c>
    </x:row>
    <x:row r="5">
      <x:c r="A5" s="1" t="s">
        <x:v>145</x:v>
      </x:c>
      <x:c r="B5" s="3">
        <x:v>170</x:v>
      </x:c>
      <x:c r="C5" s="1"/>
      <x:c r="D5" s="1" t="s">
        <x:v>146</x:v>
      </x:c>
      <x:c r="E5" s="3">
        <x:v>12</x:v>
      </x:c>
      <x:c r="F5" s="1"/>
      <x:c r="G5" s="1" t="s">
        <x:v>147</x:v>
      </x:c>
      <x:c r="H5" s="3">
        <x:v>35</x:v>
      </x:c>
      <x:c r="I5" s="1"/>
      <x:c r="J5" s="1" t="s">
        <x:v>148</x:v>
      </x:c>
      <x:c r="K5" s="13">
        <x:v>0.6</x:v>
      </x:c>
    </x:row>
    <x:row r="6">
      <x:c r="A6" s="1" t="s">
        <x:v>149</x:v>
      </x:c>
      <x:c r="B6" s="3">
        <x:v>65</x:v>
      </x:c>
      <x:c r="C6" s="1"/>
      <x:c r="D6" s="1" t="s">
        <x:v>150</x:v>
      </x:c>
      <x:c r="E6" s="3">
        <x:v>6</x:v>
      </x:c>
      <x:c r="F6" s="1"/>
      <x:c r="G6" s="1" t="s">
        <x:v>151</x:v>
      </x:c>
      <x:c r="H6" s="3">
        <x:v>35</x:v>
      </x:c>
      <x:c r="I6" s="1"/>
      <x:c r="J6" s="1" t="s">
        <x:v>152</x:v>
      </x:c>
      <x:c r="K6" s="13">
        <x:v>0.45</x:v>
      </x:c>
    </x:row>
    <x:row r="7">
      <x:c r="A7" s="1" t="s">
        <x:v>153</x:v>
      </x:c>
      <x:c r="B7" s="15">
        <x:v>0.3</x:v>
      </x:c>
      <x:c r="C7" s="1"/>
      <x:c r="D7" s="1" t="s">
        <x:v>154</x:v>
      </x:c>
      <x:c r="E7" s="3">
        <x:v>2.2000000000000002</x:v>
      </x:c>
      <x:c r="F7" s="1"/>
      <x:c r="G7" s="1" t="s">
        <x:v>155</x:v>
      </x:c>
      <x:c r="H7" s="3">
        <x:v>35</x:v>
      </x:c>
      <x:c r="I7" s="1"/>
      <x:c r="J7" s="1" t="s">
        <x:v>156</x:v>
      </x:c>
      <x:c r="K7" s="13">
        <x:v>0.35</x:v>
      </x:c>
    </x:row>
    <x:row r="8">
      <x:c r="A8" s="1" t="s">
        <x:v>157</x:v>
      </x:c>
      <x:c r="B8" s="3">
        <x:v>0.1</x:v>
      </x:c>
      <x:c r="C8" s="1"/>
      <x:c r="D8" s="1" t="s">
        <x:v>158</x:v>
      </x:c>
      <x:c r="E8" s="3">
        <x:v>3.2</x:v>
      </x:c>
      <x:c r="F8" s="1"/>
      <x:c r="G8" s="1" t="s">
        <x:v>159</x:v>
      </x:c>
      <x:c r="H8" s="3">
        <x:v>42</x:v>
      </x:c>
      <x:c r="I8" s="1"/>
      <x:c r="J8" s="1" t="s">
        <x:v>160</x:v>
      </x:c>
      <x:c r="K8" s="13">
        <x:v>0.25</x:v>
      </x:c>
    </x:row>
    <x:row r="9">
      <x:c r="A9" s="1" t="s">
        <x:v>161</x:v>
      </x:c>
      <x:c r="B9" s="3">
        <x:v>0.05</x:v>
      </x:c>
      <x:c r="C9" s="1"/>
      <x:c r="D9" s="1" t="s">
        <x:v>162</x:v>
      </x:c>
      <x:c r="E9" s="3">
        <x:v>8</x:v>
      </x:c>
      <x:c r="F9" s="1"/>
      <x:c r="G9" s="1" t="s">
        <x:v>163</x:v>
      </x:c>
      <x:c r="H9" s="3">
        <x:v>6</x:v>
      </x:c>
      <x:c r="I9" s="1"/>
      <x:c r="J9" s="1" t="s">
        <x:v>164</x:v>
      </x:c>
      <x:c r="K9" s="13">
        <x:v>0.18</x:v>
      </x:c>
    </x:row>
    <x:row r="10">
      <x:c r="A10" s="1" t="s">
        <x:v>136</x:v>
      </x:c>
      <x:c r="B10" s="3">
        <x:v>0.1</x:v>
      </x:c>
      <x:c r="C10" s="1"/>
      <x:c r="D10" s="1" t="s">
        <x:v>165</x:v>
      </x:c>
      <x:c r="E10" s="3">
        <x:v>15</x:v>
      </x:c>
      <x:c r="F10" s="1"/>
      <x:c r="G10" s="1" t="s">
        <x:v>166</x:v>
      </x:c>
      <x:c r="H10" s="3">
        <x:v>35</x:v>
      </x:c>
      <x:c r="I10" s="1"/>
      <x:c r="J10" s="1" t="s">
        <x:v>167</x:v>
      </x:c>
      <x:c r="K10" s="13">
        <x:v>0.12</x:v>
      </x:c>
    </x:row>
    <x:row r="11" ht="57">
      <x:c r="A11" s="1" t="s">
        <x:v>168</x:v>
      </x:c>
      <x:c r="B11" s="3">
        <x:v>500</x:v>
      </x:c>
      <x:c r="C11" s="1"/>
      <x:c r="D11" s="1" t="s">
        <x:v>169</x:v>
      </x:c>
      <x:c r="E11" s="3">
        <x:v>10</x:v>
      </x:c>
      <x:c r="F11" s="1"/>
      <x:c r="G11" s="1"/>
      <x:c r="H11" s="1"/>
      <x:c r="I11" s="1"/>
      <x:c r="J11" s="1" t="s">
        <x:v>170</x:v>
      </x:c>
      <x:c r="K11" s="14" t="s">
        <x:v>171</x:v>
      </x:c>
    </x:row>
    <x:row r="12">
      <x:c r="A12" s="1" t="s">
        <x:v>172</x:v>
      </x:c>
      <x:c r="B12" s="3">
        <x:v>0</x:v>
      </x:c>
      <x:c r="C12" s="1"/>
      <x:c r="D12" s="1" t="s">
        <x:v>173</x:v>
      </x:c>
      <x:c r="E12" s="3">
        <x:v>20</x:v>
      </x:c>
      <x:c r="F12" s="1"/>
      <x:c r="G12" s="1"/>
      <x:c r="H12" s="1"/>
      <x:c r="I12" s="1"/>
      <x:c r="J12" s="1"/>
    </x:row>
    <x:row r="13">
      <x:c r="A13" s="1" t="s">
        <x:v>174</x:v>
      </x:c>
      <x:c r="B13" s="3">
        <x:v>10</x:v>
      </x:c>
      <x:c r="C13" s="1"/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1" max="1" width="27" customWidth="1"/>
    <x:col min="2" max="2" width="22" customWidth="1"/>
    <x:col min="3" max="3" width="12" customWidth="1"/>
    <x:col min="4" max="4" width="28" customWidth="1"/>
    <x:col min="5" max="8" width="18" customWidth="1"/>
    <x:col min="9" max="9" width="20" customWidth="1"/>
    <x:col min="10" max="10" width="31" customWidth="1"/>
    <x:col min="11" max="11" width="12" customWidth="1"/>
  </x:cols>
  <x:sheetData>
    <x:row r="1" ht="30" customHeight="1">
      <x:c r="A1" s="18" t="s">
        <x:v>175</x:v>
      </x:c>
      <x:c r="B1" s="18"/>
      <x:c r="C1" s="18"/>
      <x:c r="D1" s="18"/>
      <x:c r="E1" s="18"/>
      <x:c r="F1" s="18"/>
      <x:c r="G1" s="18"/>
      <x:c r="H1" s="18"/>
      <x:c r="I1" s="18"/>
      <x:c r="J1" s="1"/>
    </x:row>
    <x:row r="2" ht="30" customHeight="1">
      <x:c r="A2" s="19" t="s">
        <x:v>176</x:v>
      </x:c>
      <x:c r="B2" s="19"/>
      <x:c r="C2" s="19"/>
      <x:c r="D2" s="19"/>
      <x:c r="E2" s="19"/>
      <x:c r="F2" s="19"/>
      <x:c r="G2" s="19"/>
      <x:c r="H2" s="19"/>
      <x:c r="I2" s="19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15">
      <x:c r="A4" s="2" t="s">
        <x:v>177</x:v>
      </x:c>
      <x:c r="B4" s="2" t="s">
        <x:v>178</x:v>
      </x:c>
      <x:c r="C4" s="2"/>
      <x:c r="D4" s="2" t="s">
        <x:v>179</x:v>
      </x:c>
      <x:c r="E4" s="2" t="s">
        <x:v>178</x:v>
      </x:c>
      <x:c r="F4" s="2"/>
      <x:c r="G4" s="2" t="s">
        <x:v>119</x:v>
      </x:c>
      <x:c r="H4" s="2" t="s">
        <x:v>178</x:v>
      </x:c>
      <x:c r="I4" s="2" t="s">
        <x:v>93</x:v>
      </x:c>
      <x:c r="J4" s="11" t="s">
        <x:v>180</x:v>
      </x:c>
      <x:c r="K4" s="12" t="s">
        <x:v>178</x:v>
      </x:c>
    </x:row>
    <x:row r="5">
      <x:c r="A5" s="1" t="s">
        <x:v>181</x:v>
      </x:c>
      <x:c r="B5" s="3">
        <x:v>1.4</x:v>
      </x:c>
      <x:c r="C5" s="1"/>
      <x:c r="D5" s="1" t="s">
        <x:v>182</x:v>
      </x:c>
      <x:c r="E5" s="3">
        <x:v>0.3</x:v>
      </x:c>
      <x:c r="F5" s="1"/>
      <x:c r="G5" s="1" t="s">
        <x:v>183</x:v>
      </x:c>
      <x:c r="H5" s="3">
        <x:v>0.45</x:v>
      </x:c>
      <x:c r="I5" s="1"/>
      <x:c r="J5" s="1" t="s">
        <x:v>184</x:v>
      </x:c>
      <x:c r="K5" s="16">
        <x:v>0.25</x:v>
      </x:c>
    </x:row>
    <x:row r="6">
      <x:c r="A6" s="1" t="s">
        <x:v>185</x:v>
      </x:c>
      <x:c r="B6" s="3">
        <x:v>0.35</x:v>
      </x:c>
      <x:c r="C6" s="1"/>
      <x:c r="D6" s="1" t="s">
        <x:v>186</x:v>
      </x:c>
      <x:c r="E6" s="3">
        <x:v>0.75</x:v>
      </x:c>
      <x:c r="F6" s="1"/>
      <x:c r="G6" s="1" t="s">
        <x:v>187</x:v>
      </x:c>
      <x:c r="H6" s="3">
        <x:v>0.35</x:v>
      </x:c>
      <x:c r="I6" s="1"/>
      <x:c r="J6" s="1" t="s">
        <x:v>188</x:v>
      </x:c>
      <x:c r="K6" s="16">
        <x:v>0.55000000000000004</x:v>
      </x:c>
    </x:row>
    <x:row r="7" ht="27">
      <x:c r="A7" s="1" t="s">
        <x:v>189</x:v>
      </x:c>
      <x:c r="B7" s="3">
        <x:v>0.3</x:v>
      </x:c>
      <x:c r="C7" s="1"/>
      <x:c r="D7" s="1" t="s">
        <x:v>190</x:v>
      </x:c>
      <x:c r="E7" s="3">
        <x:v>0.2</x:v>
      </x:c>
      <x:c r="F7" s="1"/>
      <x:c r="G7" s="1" t="s">
        <x:v>191</x:v>
      </x:c>
      <x:c r="H7" s="3">
        <x:v>0.2</x:v>
      </x:c>
      <x:c r="I7" s="1"/>
      <x:c r="J7" s="1" t="s">
        <x:v>192</x:v>
      </x:c>
      <x:c r="K7" s="16">
        <x:v>0.35</x:v>
      </x:c>
    </x:row>
    <x:row r="8">
      <x:c r="A8" s="1" t="s">
        <x:v>193</x:v>
      </x:c>
      <x:c r="B8" s="3">
        <x:v>1.4999999999999999E-2</x:v>
      </x:c>
      <x:c r="C8" s="1"/>
      <x:c r="D8" s="1" t="s">
        <x:v>194</x:v>
      </x:c>
      <x:c r="E8" s="3">
        <x:v>0.5</x:v>
      </x:c>
      <x:c r="F8" s="1"/>
      <x:c r="G8" s="1" t="s">
        <x:v>195</x:v>
      </x:c>
      <x:c r="H8" s="3">
        <x:v>0.35</x:v>
      </x:c>
      <x:c r="I8" s="1"/>
      <x:c r="J8" s="1" t="s">
        <x:v>196</x:v>
      </x:c>
      <x:c r="K8" s="16">
        <x:v>0.2</x:v>
      </x:c>
    </x:row>
    <x:row r="9">
      <x:c r="A9" s="1" t="s">
        <x:v>197</x:v>
      </x:c>
      <x:c r="B9" s="3">
        <x:v>2.1999999999999999E-2</x:v>
      </x:c>
      <x:c r="C9" s="1"/>
      <x:c r="D9" s="1" t="s">
        <x:v>198</x:v>
      </x:c>
      <x:c r="E9" s="3">
        <x:v>0.9</x:v>
      </x:c>
      <x:c r="F9" s="1"/>
      <x:c r="G9" s="1" t="s">
        <x:v>199</x:v>
      </x:c>
      <x:c r="H9" s="3">
        <x:v>0.35</x:v>
      </x:c>
      <x:c r="I9" s="1"/>
      <x:c r="J9" s="1" t="s">
        <x:v>200</x:v>
      </x:c>
      <x:c r="K9" s="16">
        <x:v>0.35</x:v>
      </x:c>
    </x:row>
    <x:row r="10">
      <x:c r="A10" s="1" t="s">
        <x:v>201</x:v>
      </x:c>
      <x:c r="B10" s="3">
        <x:v>3.2000000000000001E-2</x:v>
      </x:c>
      <x:c r="C10" s="1"/>
      <x:c r="D10" s="1" t="s">
        <x:v>202</x:v>
      </x:c>
      <x:c r="E10" s="3">
        <x:v>0.25</x:v>
      </x:c>
      <x:c r="F10" s="1"/>
      <x:c r="G10" s="1" t="s">
        <x:v>203</x:v>
      </x:c>
      <x:c r="H10" s="3">
        <x:v>1</x:v>
      </x:c>
      <x:c r="I10" s="1"/>
      <x:c r="J10" s="1" t="s">
        <x:v>204</x:v>
      </x:c>
      <x:c r="K10" s="16">
        <x:v>0.6</x:v>
      </x:c>
    </x:row>
    <x:row r="11">
      <x:c r="A11" s="1" t="s">
        <x:v>205</x:v>
      </x:c>
      <x:c r="B11" s="3">
        <x:v>0.06</x:v>
      </x:c>
      <x:c r="C11" s="1"/>
      <x:c r="D11" s="1" t="s">
        <x:v>206</x:v>
      </x:c>
      <x:c r="E11" s="3">
        <x:v>0.65</x:v>
      </x:c>
      <x:c r="F11" s="1"/>
      <x:c r="G11" s="1" t="s">
        <x:v>207</x:v>
      </x:c>
      <x:c r="H11" s="3">
        <x:v>0.55000000000000004</x:v>
      </x:c>
      <x:c r="I11" s="1"/>
      <x:c r="J11" s="1" t="s">
        <x:v>208</x:v>
      </x:c>
      <x:c r="K11" s="16">
        <x:v>1.5</x:v>
      </x:c>
    </x:row>
    <x:row r="12" ht="27">
      <x:c r="A12" s="1" t="s">
        <x:v>209</x:v>
      </x:c>
      <x:c r="B12" s="3">
        <x:v>5.5E-2</x:v>
      </x:c>
      <x:c r="C12" s="1"/>
      <x:c r="D12" s="1" t="s">
        <x:v>210</x:v>
      </x:c>
      <x:c r="E12" s="3">
        <x:v>1.5</x:v>
      </x:c>
      <x:c r="F12" s="1"/>
      <x:c r="G12" s="1" t="s">
        <x:v>211</x:v>
      </x:c>
      <x:c r="H12" s="3">
        <x:v>1.25</x:v>
      </x:c>
      <x:c r="I12" s="1"/>
      <x:c r="J12" s="1" t="s">
        <x:v>212</x:v>
      </x:c>
      <x:c r="K12" s="16">
        <x:v>2</x:v>
      </x:c>
    </x:row>
    <x:row r="13">
      <x:c r="A13" s="1" t="s">
        <x:v>213</x:v>
      </x:c>
      <x:c r="B13" s="3">
        <x:v>2.5000000000000001E-3</x:v>
      </x:c>
      <x:c r="C13" s="1"/>
      <x:c r="D13" s="1"/>
      <x:c r="E13" s="1"/>
      <x:c r="F13" s="1"/>
      <x:c r="G13" s="1" t="s">
        <x:v>214</x:v>
      </x:c>
      <x:c r="H13" s="3">
        <x:v>1.25</x:v>
      </x:c>
      <x:c r="I13" s="1"/>
      <x:c r="J13" s="1" t="s">
        <x:v>215</x:v>
      </x:c>
      <x:c r="K13" s="16">
        <x:v>0.05</x:v>
      </x:c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A1:I1"/>
    <x:mergeCell ref="A2: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25"/>
  <x:cols>
    <x:col min="1" max="1" width="27" customWidth="1"/>
    <x:col min="2" max="2" width="22" customWidth="1"/>
    <x:col min="3" max="3" width="12" customWidth="1"/>
    <x:col min="4" max="4" width="28" customWidth="1"/>
    <x:col min="5" max="8" width="18" customWidth="1"/>
    <x:col min="9" max="9" width="20" customWidth="1"/>
    <x:col min="10" max="10" width="28" customWidth="1"/>
  </x:cols>
  <x:sheetData>
    <x:row r="1">
      <x:c r="A1" s="1" t="s">
        <x:v>5</x:v>
      </x:c>
      <x:c r="B1" s="1" t="s">
        <x:v>216</x:v>
      </x:c>
      <x:c r="C1" s="1" t="s">
        <x:v>217</x:v>
      </x:c>
      <x:c r="D1" s="1" t="s">
        <x:v>218</x:v>
      </x:c>
      <x:c r="E1" s="1" t="s">
        <x:v>219</x:v>
      </x:c>
      <x:c r="F1" s="1" t="s">
        <x:v>220</x:v>
      </x:c>
      <x:c r="G1" s="1" t="s">
        <x:v>41</x:v>
      </x:c>
      <x:c r="H1" s="1" t="s">
        <x:v>221</x:v>
      </x:c>
      <x:c r="I1" s="1" t="s">
        <x:v>222</x:v>
      </x:c>
      <x:c r="J1" s="1" t="s">
        <x:v>223</x:v>
      </x:c>
      <x:c r="K1" t="s">
        <x:v>224</x:v>
      </x:c>
      <x:c r="L1" t="s">
        <x:v>225</x:v>
      </x:c>
      <x:c r="N1" t="s">
        <x:v>226</x:v>
      </x:c>
      <x:c r="O1" t="s">
        <x:v>227</x:v>
      </x:c>
      <x:c r="P1" t="s">
        <x:v>59</x:v>
      </x:c>
      <x:c r="Q1" t="s">
        <x:v>228</x:v>
      </x:c>
      <x:c r="R1" t="s">
        <x:v>229</x:v>
      </x:c>
    </x:row>
    <x:row r="2">
      <x:c r="A2" s="1" t="s">
        <x:v>6</x:v>
      </x:c>
      <x:c r="B2" s="1" t="s">
        <x:v>230</x:v>
      </x:c>
      <x:c r="C2" s="1" t="s">
        <x:v>231</x:v>
      </x:c>
      <x:c r="D2" s="1" t="s">
        <x:v>232</x:v>
      </x:c>
      <x:c r="E2" s="1" t="s">
        <x:v>233</x:v>
      </x:c>
      <x:c r="F2" s="1" t="s">
        <x:v>21</x:v>
      </x:c>
      <x:c r="G2" s="1" t="s">
        <x:v>42</x:v>
      </x:c>
      <x:c r="H2" s="1" t="s">
        <x:v>44</x:v>
      </x:c>
      <x:c r="I2" s="1" t="s">
        <x:v>47</x:v>
      </x:c>
      <x:c r="J2" s="1" t="s">
        <x:v>234</x:v>
      </x:c>
      <x:c r="K2" t="s">
        <x:v>235</x:v>
      </x:c>
      <x:c r="L2" t="s">
        <x:v>107</x:v>
      </x:c>
      <x:c r="N2" t="s">
        <x:v>236</x:v>
      </x:c>
      <x:c r="O2" t="s">
        <x:v>237</x:v>
      </x:c>
      <x:c r="P2" t="s">
        <x:v>60</x:v>
      </x:c>
      <x:c r="Q2" t="s">
        <x:v>65</x:v>
      </x:c>
      <x:c r="R2" t="s">
        <x:v>235</x:v>
      </x:c>
    </x:row>
    <x:row r="3">
      <x:c r="A3" s="1" t="s">
        <x:v>238</x:v>
      </x:c>
      <x:c r="B3" s="1" t="s">
        <x:v>9</x:v>
      </x:c>
      <x:c r="C3" s="1" t="s">
        <x:v>18</x:v>
      </x:c>
      <x:c r="D3" s="1" t="s">
        <x:v>239</x:v>
      </x:c>
      <x:c r="E3" s="1" t="s">
        <x:v>15</x:v>
      </x:c>
      <x:c r="F3" s="1" t="s">
        <x:v>79</x:v>
      </x:c>
      <x:c r="G3" s="1" t="s">
        <x:v>240</x:v>
      </x:c>
      <x:c r="H3" s="1" t="s">
        <x:v>241</x:v>
      </x:c>
      <x:c r="I3" s="1" t="s">
        <x:v>242</x:v>
      </x:c>
      <x:c r="J3" s="1" t="s">
        <x:v>243</x:v>
      </x:c>
      <x:c r="K3" t="s">
        <x:v>244</x:v>
      </x:c>
      <x:c r="L3" t="s">
        <x:v>97</x:v>
      </x:c>
      <x:c r="N3" t="s">
        <x:v>56</x:v>
      </x:c>
      <x:c r="O3" t="s">
        <x:v>58</x:v>
      </x:c>
      <x:c r="P3" t="s">
        <x:v>245</x:v>
      </x:c>
      <x:c r="Q3" t="s">
        <x:v>246</x:v>
      </x:c>
      <x:c r="R3" t="s">
        <x:v>247</x:v>
      </x:c>
    </x:row>
    <x:row r="4">
      <x:c r="A4" s="1"/>
      <x:c r="B4" s="1"/>
      <x:c r="C4" s="1" t="s">
        <x:v>248</x:v>
      </x:c>
      <x:c r="D4" s="1" t="s">
        <x:v>12</x:v>
      </x:c>
      <x:c r="E4" s="1"/>
      <x:c r="F4" s="1"/>
      <x:c r="G4" s="1"/>
      <x:c r="H4" s="1" t="s">
        <x:v>249</x:v>
      </x:c>
      <x:c r="I4" s="1"/>
      <x:c r="J4" s="1" t="s">
        <x:v>250</x:v>
      </x:c>
      <x:c r="K4" t="s">
        <x:v>251</x:v>
      </x:c>
      <x:c r="L4" t="s">
        <x:v>100</x:v>
      </x:c>
      <x:c r="N4" t="s">
        <x:v>252</x:v>
      </x:c>
      <x:c r="R4" t="s">
        <x:v>253</x:v>
      </x:c>
    </x:row>
    <x:row r="5" ht="27">
      <x:c r="A5" s="1"/>
      <x:c r="B5" s="1"/>
      <x:c r="C5" s="1" t="s">
        <x:v>254</x:v>
      </x:c>
      <x:c r="D5" s="1"/>
      <x:c r="E5" s="1"/>
      <x:c r="F5" s="1"/>
      <x:c r="G5" s="1"/>
      <x:c r="H5" s="1"/>
      <x:c r="I5" s="1"/>
      <x:c r="J5" s="1" t="s">
        <x:v>75</x:v>
      </x:c>
      <x:c r="K5" t="s">
        <x:v>255</x:v>
      </x:c>
      <x:c r="L5" t="s">
        <x:v>95</x:v>
      </x:c>
      <x:c r="N5" t="s">
        <x:v>256</x:v>
      </x:c>
      <x:c r="R5" t="s">
        <x:v>81</x:v>
      </x:c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t="s">
        <x:v>77</x:v>
      </x:c>
      <x:c r="L6" t="s">
        <x:v>102</x:v>
      </x:c>
      <x:c r="R6" t="s">
        <x:v>257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L7" t="s">
        <x:v>104</x:v>
      </x:c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L8" t="s">
        <x:v>110</x:v>
      </x:c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pageMargins left="0.7" right="0.7" top="0.75" bottom="0.75" header="0.3" footer="0.3"/>
</x:worksheet>
</file>